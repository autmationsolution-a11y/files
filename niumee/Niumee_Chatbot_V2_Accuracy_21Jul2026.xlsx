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NES~1\AppData\Local\Temp\claude\C--Users-Younes-Boujoudar-Downloads\1fcbd413-a078-484d-9aef-2daa6cf702e7\scratchpad\"/>
    </mc:Choice>
  </mc:AlternateContent>
  <xr:revisionPtr revIDLastSave="0" documentId="13_ncr:1_{5FA353A2-87DC-47D4-A433-CA73DE6B9527}" xr6:coauthVersionLast="47" xr6:coauthVersionMax="47" xr10:uidLastSave="{00000000-0000-0000-0000-000000000000}"/>
  <bookViews>
    <workbookView xWindow="-108" yWindow="-108" windowWidth="23256" windowHeight="13896" xr2:uid="{00000000-000D-0000-FFFF-FFFF00000000}"/>
  </bookViews>
  <sheets>
    <sheet name="Summary" sheetId="1" r:id="rId1"/>
    <sheet name="LASER HAIR REMOVAL" sheetId="2" r:id="rId2"/>
    <sheet name="SEMI-PERMANENT MAKEUP" sheetId="3" r:id="rId3"/>
    <sheet name="FACIALS" sheetId="4" r:id="rId4"/>
    <sheet name="NAILS" sheetId="5" r:id="rId5"/>
    <sheet name="BOTOX &amp; FILLERS" sheetId="6" r:id="rId6"/>
    <sheet name="SKIN BOOSTERS" sheetId="7" r:id="rId7"/>
    <sheet name="GYNAE" sheetId="8" r:id="rId8"/>
    <sheet name="Sports Therapy" sheetId="9" r:id="rId9"/>
    <sheet name="PODOLOGY" sheetId="10" r:id="rId10"/>
    <sheet name="SCLEROTHERAPY"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D15" i="1"/>
  <c r="C15" i="1"/>
  <c r="B15" i="1"/>
  <c r="H15" i="1" s="1"/>
  <c r="E14" i="1"/>
  <c r="D14" i="1"/>
  <c r="C14" i="1"/>
  <c r="B14" i="1"/>
  <c r="H14" i="1" s="1"/>
  <c r="E13" i="1"/>
  <c r="D13" i="1"/>
  <c r="C13" i="1"/>
  <c r="G13" i="1" s="1"/>
  <c r="B13" i="1"/>
  <c r="F13" i="1" s="1"/>
  <c r="E12" i="1"/>
  <c r="D12" i="1"/>
  <c r="C12" i="1"/>
  <c r="G12" i="1" s="1"/>
  <c r="B12" i="1"/>
  <c r="H12" i="1" s="1"/>
  <c r="E11" i="1"/>
  <c r="D11" i="1"/>
  <c r="C11" i="1"/>
  <c r="B11" i="1"/>
  <c r="F11" i="1" s="1"/>
  <c r="E10" i="1"/>
  <c r="D10" i="1"/>
  <c r="C10" i="1"/>
  <c r="G10" i="1" s="1"/>
  <c r="B10" i="1"/>
  <c r="H10" i="1" s="1"/>
  <c r="E9" i="1"/>
  <c r="D9" i="1"/>
  <c r="C9" i="1"/>
  <c r="G9" i="1" s="1"/>
  <c r="B9" i="1"/>
  <c r="F9" i="1" s="1"/>
  <c r="E8" i="1"/>
  <c r="D8" i="1"/>
  <c r="C8" i="1"/>
  <c r="B8" i="1"/>
  <c r="F8" i="1" s="1"/>
  <c r="E7" i="1"/>
  <c r="D7" i="1"/>
  <c r="C7" i="1"/>
  <c r="B7" i="1"/>
  <c r="F7" i="1" s="1"/>
  <c r="E6" i="1"/>
  <c r="D6" i="1"/>
  <c r="D16" i="1" s="1"/>
  <c r="C6" i="1"/>
  <c r="B6" i="1"/>
  <c r="H6" i="1" s="1"/>
  <c r="G6" i="1" l="1"/>
  <c r="H7" i="1"/>
  <c r="G14" i="1"/>
  <c r="G11" i="1"/>
  <c r="E16" i="1"/>
  <c r="G7" i="1"/>
  <c r="G8" i="1"/>
  <c r="G15" i="1"/>
  <c r="H11" i="1"/>
  <c r="H8" i="1"/>
  <c r="H9" i="1"/>
  <c r="F10" i="1"/>
  <c r="H13" i="1"/>
  <c r="F14" i="1"/>
  <c r="F15" i="1"/>
  <c r="F12" i="1"/>
  <c r="F6" i="1"/>
  <c r="B16" i="1"/>
  <c r="H16" i="1" s="1"/>
  <c r="C16" i="1"/>
  <c r="G16" i="1" s="1"/>
  <c r="F16" i="1" l="1"/>
</calcChain>
</file>

<file path=xl/sharedStrings.xml><?xml version="1.0" encoding="utf-8"?>
<sst xmlns="http://schemas.openxmlformats.org/spreadsheetml/2006/main" count="1145" uniqueCount="410">
  <si>
    <t>Niumee AI Receptionist V2 - Accuracy Evaluation</t>
  </si>
  <si>
    <t>151 questions from Clarissa's 'AI WHATSAPP Q&amp;A ON SERVICES_v2.xlsx' replayed against the no-send test bot (n8n test mirror), one WhatsApp session per category, 21 Jul 2026. Graded vs Clarissa's approved answers: PASS=1, PARTIAL=0.5, FAIL=0.</t>
  </si>
  <si>
    <t>Category</t>
  </si>
  <si>
    <t>Questions</t>
  </si>
  <si>
    <t>Pass</t>
  </si>
  <si>
    <t>Partial</t>
  </si>
  <si>
    <t>Fail</t>
  </si>
  <si>
    <t>First-run accuracy</t>
  </si>
  <si>
    <t>FINAL accuracy</t>
  </si>
  <si>
    <t>V1 baseline*</t>
  </si>
  <si>
    <t>LASER HAIR REMOVAL</t>
  </si>
  <si>
    <t>SEMI-PERMANENT MAKEUP</t>
  </si>
  <si>
    <t>FACIALS</t>
  </si>
  <si>
    <t>NAILS</t>
  </si>
  <si>
    <t>BOTOX &amp; FILLERS</t>
  </si>
  <si>
    <t>SKIN BOOSTERS</t>
  </si>
  <si>
    <t>GYNAE</t>
  </si>
  <si>
    <t>Sports Therapy</t>
  </si>
  <si>
    <t>PODOLOGY</t>
  </si>
  <si>
    <t>SCLEROTHERAPY</t>
  </si>
  <si>
    <t>OVERALL</t>
  </si>
  <si>
    <t>*V1 baseline = share of questions Clarissa did NOT flag as bad in her file (her grading was more lenient than this re-grade, so compare trends, not absolutes). 'FINAL grade' = after the V2.1 fixes deployed 21 Jul (context-aware policy detection, Skin Boosters knowledge row, website-tool truncation, privacy rule). Questions not re-tested keep their first-run grade.</t>
  </si>
  <si>
    <t>#</t>
  </si>
  <si>
    <t>Question</t>
  </si>
  <si>
    <t>V1 verdict (Clarissa)</t>
  </si>
  <si>
    <t>Bot answer - first run (21 Jul)</t>
  </si>
  <si>
    <t>First-run grade</t>
  </si>
  <si>
    <t>Bot answer - after V2.1 fixes</t>
  </si>
  <si>
    <t>FINAL grade</t>
  </si>
  <si>
    <t>Grader comment</t>
  </si>
  <si>
    <t>Clarissa approved answer</t>
  </si>
  <si>
    <t>Do you offer this service?</t>
  </si>
  <si>
    <t>Good</t>
  </si>
  <si>
    <t>Yes, we do offer laser hair removal services!
Here are the available options:
1) Add on BLT Anaesthetic for Laser hair removal (15 min)
2) Girls Open Day - Laser Hair Removal Consultation &amp; Test patch with Nurse (15 min)
3) Laser hair removal Fingers &amp; Toes by nurse (15 min)
4) Laser hair removal - full chest, abdomen + shoulders - by doctor (45 min)
5) Laser hair removal - upper lip by nurse (15 min)
6) Laser hair removal 15mins by Dr Pillow (0 min)
7) Laser hair removal bikini - by nurse (15 min)
8) Laser hair removal bikini + buttocks - by doctor (30 min)
Please let me know which option you would like to know more about or if you'd like to proceed with any of them! 😊</t>
  </si>
  <si>
    <t>PARTIAL</t>
  </si>
  <si>
    <t>Correct yes + options, but missing free consultation &amp; patch test point</t>
  </si>
  <si>
    <t>Yes, we offer laser hair removal at Niumee. A free consultation and patch test are required before treatment to assess your skin and hair type and determine the most suitable settings.</t>
  </si>
  <si>
    <t>What does the treatment do?</t>
  </si>
  <si>
    <t>Laser hair removal is an advanced, non-invasive treatment designed to safely and effectively reduce unwanted hair long-term.
What it does:
Targets hair follicles to achieve long-lasting hair reduction, leading to smoother skin.
Helps minimize ingrown hairs and reduces the need for regular shaving or waxing.
How it works:
The XLase technology utilizes concentrated pulses of laser light absorbed by the pigment in hair follicles.
This energy converts to heat, selectively damaging the follicle to inhibit future hair growth while maintaining the surrounding skin.
Treatment protocol:
Typically involves 3-6 sessions, spaced 4 weeks apart.
Benefits:
Long-term reduction of unwanted hair.
Improved skin smoothness and reduced ingrown hairs.
For more details, you can visit [this link](https://niumee.com/treatments/laser-hair-removal/).
If you have more specific questions or if you'd like to book a session, let me know! 😊</t>
  </si>
  <si>
    <t>PASS</t>
  </si>
  <si>
    <t>Laser hair removal targets the hair follicles to reduce unwanted hair growth over time. With a course of treatments, the hair usually becomes finer, lighter, and grows back more slowly, helping to achieve smoother skin and longer-lasting results.</t>
  </si>
  <si>
    <t>What are the benefits?</t>
  </si>
  <si>
    <t>The benefits of laser hair removal include:
Long-term hair reduction: This treatment effectively targets hair follicles, providing lasting results and reducing the need for constant shaving or waxing.
Smoother skin: By reducing unwanted hair, clients often achieve a smoother skin texture.
Minimized ingrown hairs: The treatment helps reduce the occurrence of ingrown hairs, which can be an issue with traditional hair removal methods.
Convenience: With fewer maintenance sessions required over time, it offers a more convenient solution to unwanted hair.
If you need more information or would like to schedule a session, just let me know! 😊</t>
  </si>
  <si>
    <t>Laser hair removal provides long-term hair reduction, helps hair grow back finer and more slowly, and can reduce ingrown hairs, razor irritation, and the need for frequent shaving or waxing. It also helps leave the skin feeling smoother over time.</t>
  </si>
  <si>
    <t>Are there any side effects or contraindications?</t>
  </si>
  <si>
    <t>Side effects and contraindications of laser hair removal include:
Possible Side Effects:
Redness and swelling: Temporary irritation in the treated area is common following the treatment.
Discoloration: Some clients may experience changes in skin pigmentation, especially those with darker skin tones.
Sensitivity: Treated areas might feel more sensitive to temperature or touch for a short time.
Contraindications:
Not effective for certain hair types: The treatment is less effective on white, grey, or red hair due to lower melanin levels.
Skin conditions: Active infections, eczema, or psoriasis in the treatment area may prevent treatment.
Pregnancy: Women who are pregnant or breastfeeding should consult with a doctor before proceeding.
Tanned skin: Avoid treatment if you have recently tanned your skin or used tanning products.
For any specific concerns or if you'd like to schedule a consultation to discuss this in detail, feel free to ask! 😊</t>
  </si>
  <si>
    <t>Well Informed.</t>
  </si>
  <si>
    <t>Can I have sun exposure after the treatment? If yes, after how long?</t>
  </si>
  <si>
    <t>After laser hair removal treatment, it's generally recommended to avoid sun exposure for about 24-48 hours. This allows the skin to recover and reduces the risk of irritation and pigmentation changes.
Once this initial period is over, if you need to be in the sun, make sure to apply a broad-spectrum sunscreen with SPF to protect the treated area. For any specific concerns or further questions, feel free to reach out! 😊</t>
  </si>
  <si>
    <t>Are there any precautions before or after the treatment?</t>
  </si>
  <si>
    <t>Before and after laser hair removal treatment, here are some precautions to keep in mind:
Before Treatment:
Avoid Sun Exposure: Refrain from sunbathing or using tanning beds for at least 4-6 weeks prior to your session to reduce the risk of skin damage.
Shaving: You should shave the treatment area 24 hours before your appointment. Avoid waxing or plucking, as these can irritate the skin and disrupt the hair follicle.
Skin Care Products: Avoid using products that irritate the skin (such as retinoids or acne treatments) in the days leading up to your treatment.
After Treatment:
Sun Protection: As discussed, avoid sun exposure for 24-48 hours post-treatment. Use sunscreen with a high SPF on any treated areas afterward.
Avoid Hot Showers/ Saunas: Steer clear of hot showers, saunas, or intense workouts for at least 24 hours, as they can irritate the skin.
Do Not Scratch or Rub: Avoid touching or scratching the treated area; let it heal naturally.
If you have any specific questions or would like to book a session, just let me know! 😊</t>
  </si>
  <si>
    <t>How much does it cost?</t>
  </si>
  <si>
    <t>The cost for laser hair removal varies depending on the specific area you want to treat. Here are some options:
Full Body Male: €200
Upper Lip: €30
Bikini Area: €30
Fingers &amp; Toes: €30 
These treatments typically require multiple sessions, usually spaced about 4 weeks apart. If you have any specific areas in mind or would like to schedule a session, just let me know! 😊</t>
  </si>
  <si>
    <t>Per-area prices OK but didn't offer laser cards here</t>
  </si>
  <si>
    <t>You may pay per treatment area or choose one of our non-expiring laser cards: 1.5 hours – €150 3 hours – €285  6 hours – €459</t>
  </si>
  <si>
    <t>Who performs this treatment?</t>
  </si>
  <si>
    <t>The laser hair removal treatments are performed by qualified nurses at Niumee: Chanelle, Jamie, and Ella. If you would like to book a session with one of them or have more questions, feel free to ask! 😊</t>
  </si>
  <si>
    <t>FAIL</t>
  </si>
  <si>
    <t>Laser hair removal is performed by our trained and qualified laser practitioners: 
Jamie 
Liza 
Nevena 
Ella 
If you have any more questions or need further assistance, just let me know! 😊</t>
  </si>
  <si>
    <t>V2.1: correct list - Jamie, Liza, Nevena, Ella</t>
  </si>
  <si>
    <t>Laser hair removal is performed by our trained and qualified laser practitioners; Jamie, Liza, Nevena and Ella</t>
  </si>
  <si>
    <t>How long does the treatment take?</t>
  </si>
  <si>
    <t>The duration for laser hair removal treatments typically lasts around 15 minutes for smaller areas, such as the upper lip or fingers, and can take up to 90 minutes for a full body session.
Most treatments require multiple sessions spaced about 4 weeks apart to achieve optimal results. If you have any other questions or would like to book a session, just let me know! 😊</t>
  </si>
  <si>
    <t>Treatment time depends on the area being treated. Smaller areas may take around 15 minutes, while larger or multiple areas may require longer. The expected duration will be confirmed during your consultation.</t>
  </si>
  <si>
    <t>What is the treatment protocol?</t>
  </si>
  <si>
    <t>The treatment protocol for laser hair removal generally involves:
Sessions: Usually between 3 to 6 sessions, depending on the area and individual concerns.
Spacing: Treatments are typically spaced about 4 weeks apart to allow the hair to grow in cycles and ensure maximum effectiveness.
Post-Treatment Care: It's important to avoid sun exposure and certain skincare products immediately after treatment, as well as refrain from waxing or plucking until the next session.
If you have more questions or want to book a session, just let me know! 😊</t>
  </si>
  <si>
    <t>Missing consultation+patch-test start; 4wk vs 4-8wk</t>
  </si>
  <si>
    <t>The process begins with a free consultation and patch test to assess your skin and hair type. Before each session, the treatment area should be shaved and free from creams, oils, deodorant, or fake tan. During treatment, the laser targets the hair follicles to reduce future growth. Sessions are usually repeated every 4–8 weeks, depending on the area and hair-growth cycle, and a course of treatments is normally required for the best results.</t>
  </si>
  <si>
    <t>After how long is the treatment repeated?</t>
  </si>
  <si>
    <t>Laser hair removal treatments are typically repeated every 4 weeks. This spacing allows the hair to grow in cycles, ensuring optimal effectiveness for each session.
If you have more questions or want to schedule a session, just let me know! 😊</t>
  </si>
  <si>
    <t>Said every 4 weeks; approved is 4-8 weeks</t>
  </si>
  <si>
    <t>Laser hair removal sessions are usually repeated every 4–8 weeks, depending on the treatment area, hair-growth cycle, and your practitioner’s recommendation. Facial areas may require shorter intervals, while body areas are often treated less frequently.</t>
  </si>
  <si>
    <t>How many sessions are required?</t>
  </si>
  <si>
    <t>Typically, most clients require between 3 to 6 sessions of laser hair removal, depending on the specific area and individual hair growth patterns.
If you have more questions or would like to book a session, just let me know! 😊</t>
  </si>
  <si>
    <t>Is it painful?</t>
  </si>
  <si>
    <t>Many clients describe the sensation during laser hair removal as a mild discomfort, similar to a rubber band snapping against the skin. However, it generally isn't considered painful.
Most treatments also use a cooling mechanism to help alleviate any discomfort during the procedure.
If you have any more questions or wish to book a session, feel free to ask! 😊</t>
  </si>
  <si>
    <t>What is the minimum or maximum age allowed for this treatment?</t>
  </si>
  <si>
    <t>Laser hair removal is usually safe for clients aged 16 and above, but it is recommended that minors have parental or guardian consent. There isn't typically a strict upper age limit for this treatment as long as the individual is in good health.
If you have more questions or would like to book a session, just let me know! 😊</t>
  </si>
  <si>
    <t>Is anything required before the appointment?</t>
  </si>
  <si>
    <t>Before your laser hair removal appointment, it's important to follow these guidelines:
Avoid Sun Exposure: Make sure to stay out of the sun and avoid tanning beds for at least two weeks before the treatment.
No Waxing or Plucking: Refrain from waxing or plucking the hair in the treatment area for at least four weeks prior.
Shaving: It's usually recommended to shave the area a day before your appointment, as this helps the laser target the hair follicles more effectively.
If you have any more questions or wish to schedule a session, just let me know! 😊</t>
  </si>
  <si>
    <t>Do you offer packages?</t>
  </si>
  <si>
    <t>Yes, we offer different laser hair removal packages! Here are the options:
1.5 Hour Laser Card: €150
3 Hour Laser Card: €285
6 Hour Laser Card: €459
These cards allow you to purchase sessions in bulk, and they do not expire.
If you have more questions or wish to book a session, feel free to ask! 😊</t>
  </si>
  <si>
    <t>Yes, we offer non-expiring laser cards that can be used across different treatment areas and shared with another person: 1.5 hours – €150  3 hours – €285  6 hours – €459. Each session is deducted in 15-minute intervals.</t>
  </si>
  <si>
    <t>How do the packages work? For example, a laser card/package.</t>
  </si>
  <si>
    <t>With the laser cards, you purchase a set amount of time that can be used for multiple sessions.
Here’s how it works:
1.5 Hour Card: €150
3 Hour Card: €285
6 Hour Card: €459
Minutes are deducted from the card in 15-minute increments per session. This means if you have a session that lasts 30 minutes, 30 minutes will be deducted from your total balance.
If you have more questions or would like to book a session, just let me know! 😊</t>
  </si>
  <si>
    <t>Our laser cards are purchased as a set amount of treatment time. Each appointment is deducted from the card in 15-minute intervals.  The cards never expire, can be used for different body areas, and may also be shared with another person.</t>
  </si>
  <si>
    <t>What is the cancellation policy?</t>
  </si>
  <si>
    <t>For cancellations, the policy is as follows:
If you cancel or do not show up within 24 hours of your scheduled appointment time, your deposit is charged as a cancellation/no-show fee. Giving notice more than 24 hours in advance avoids this fee.
Please note that cancellations within the 24-hour window cannot be done through the app or website; you must call us directly.
If you have any more questions or want to schedule a session, just let me know! 😊</t>
  </si>
  <si>
    <t>How much deposit do I need to pay?</t>
  </si>
  <si>
    <t>Bad</t>
  </si>
  <si>
    <t>The team will confirm the exact deposit required for your appointment.
If you have any more questions or wish to book a session, feel free to ask! 😊</t>
  </si>
  <si>
    <t>No deposit is required for laser hair removal bookings. Any payment requirements for laser cards will be confirmed by reception when booking.
If you need further assistance or have more questions, feel free to ask! 😊</t>
  </si>
  <si>
    <t>V2.1: no deposit; reception confirms laser-card payments</t>
  </si>
  <si>
    <t>No deposit is required when booking this treatment. Any payment requirements for treatment appointments or laser cards will be confirmed by our reception team when booking.</t>
  </si>
  <si>
    <t>It seems I couldn't retrieve specific details about the semi-permanent makeup service. However, I can confirm that we do offer it. 
If you're interested, I can assist you with scheduling a consultation or provide more information. Would you like to proceed with a booking? 😊</t>
  </si>
  <si>
    <t>Confirms offering but 'couldn't retrieve details', no booking link</t>
  </si>
  <si>
    <t>Yes, we offer semi-permanent makeup treatments at Niumee, including microblading. You can book a free consultation through the following link: https://www.niumee.com/treatments/semi-permanent-make-up/</t>
  </si>
  <si>
    <t>Semi-permanent makeup is a cosmetic tattooing technique that enhances facial features by implanting pigment into the skin. Here’s what you should know:
Target Areas:
Eyebrows (microblading, powder brows)
Eyelids (eyeliner enhancements)
Lips (lip blush or tint)
Beauty marks
Scalp hairline (light shading for density)
Purpose:
It reduces the need for daily makeup application, creating symmetry and definition in brows, lips, and eyes. Ideal for those with busy lifestyles or makeup sensitivities.
How It Works:
Using specialized equipment, pigment is deposited into the skin’s upper layers through techniques like microblading or machine shading. Proper aftercare is crucial, and results last around 1-3 years.
Recovery Time:
Healing takes about 5-14 days, with full results settling in 4-6 weeks.
Benefits:
Enhances appearance, requiring minimal maintenance.
If you have any further questions or are ready to book a consultation, just let me know! 😊 You can find more details here: https://niumee.com/treatments/semi-permanent-make-up/</t>
  </si>
  <si>
    <t>Nice response</t>
  </si>
  <si>
    <t>Here are the benefits of semi-permanent makeup:
Long-lasting results: Minimizes the need for daily makeup application, lasting 1-3 years.
Enhances natural beauty: Defines and enhances key facial features, such as eyebrows, lips, and eyes.
Convenience: Perfect for those with busy lifestyles, providing a polished look without the daily hassle.
Customizable: Techniques like microblading and shading allow for personalized results that suit individual preferences.
Symmetry: Helps create a more balanced appearance, especially for those with uneven features.
Confidence boost: Many clients feel more confident and comfortable without makeup.
If you'd like to explore this service further or book a consultation, please let me know! 😊</t>
  </si>
  <si>
    <t>Semi-permanent makeup does come with some potential side effects and contraindications. Here are the details:
Possible Side Effects:
Mild redness and swelling: Common immediately after the procedure, typically subsiding within a few hours.
Flaking and peeling: As the skin heals, mild flaking can occur, usually lasting about a week.
Allergic reactions: Some individuals may experience allergic reactions to the pigments used.
Contraindications:
Pregnancy and breastfeeding: Generally advised against during this time.
Certain skin conditions: Active acne, eczema, or psoriasis in the treated areas could complicate the process.
Blood disorders: Individuals with certain blood disorders or on anticoagulant medication should consult with a healthcare provider beforehand.
Keloid scarring: Those prone to keloids may not be suitable candidates.
It’s crucial to discuss any medical conditions during your consultation to determine if you are a suitable candidate for the treatment. Would you like to book a consultation for more personalized information? 😊 You can also find more details here: https://niumee.com/treatments/semi-permanent-make-up/</t>
  </si>
  <si>
    <t>After the semi-permanent makeup treatment, it’s important to avoid sun exposure for at least 24 to 48 hours. Direct sunlight can cause irritation and affect the healing process of the treated areas. Once you’ve passed this initial period, it’s still advisable to wear sunscreen on the treated areas to protect the pigment and promote better healing.
If you have any further questions or would like to schedule a consultation, just let me know! 😊</t>
  </si>
  <si>
    <t>Here are the precautions you should take before and after the semi-permanent makeup treatment:
Before the Treatment:
Avoid Alcohol and Caffeine: Stop consuming alcohol and caffeine for at least 24 hours prior, as they can increase bleeding.
Avoid Skin Irritation: Do not exfoliate or use strong skin treatments on the area a few days beforehand.
Discuss Medical History: Talk to your technician about any medications or conditions, including medications that may affect healing.
After the Treatment:
Avoid Sun Exposure: Stay out of direct sunlight for at least 24 to 48 hours. After this, use sunscreen on the treated areas.
Avoid Makeup: Do not apply makeup to the treated areas for at least a week to allow healing.
Follow Aftercare Instructions: Keep the area clean and moisturized as advised by your technician.
These precautions help ensure the best results and safe healing. If you have further questions or wish to book a consultation, feel free to ask! 😊 You can find more information here: https://niumee.com/treatments/semi-permanent-make-up/</t>
  </si>
  <si>
    <t>I will need to confirm the exact cost of the semi-permanent makeup treatment, as I couldn't retrieve that information right now. Would you like to book a consultation where we can discuss the details further? 😊</t>
  </si>
  <si>
    <t>The starting price for semi-permanent makeup is EUR200, but the final cost can vary based on the area and technique. It's recommended to have a free consultation to determine the exact price. Would you like to schedule that consultation or have more questions? 😊</t>
  </si>
  <si>
    <t>V2.1: from EUR200 + free consultation offer</t>
  </si>
  <si>
    <t>Semi-permanent makeup treatments start from €200. The final price depends on the area and technique selected. You can book a free consultation to discuss your desired result and confirm the exact cost here: https://www.niumee.com/treatments/semi-permanent-make-up/</t>
  </si>
  <si>
    <t>It seems I couldn't retrieve specific information about who performs the semi-permanent makeup treatment at this moment. Would you like to schedule a consultation where we can discuss this further? 😊</t>
  </si>
  <si>
    <t>Semi-permanent makeup is performed by the following skilled professionals: 1. Mehmet Cakir (master) 2. Melanie Sciberras 3. Ilona Abela 4. Magda. If you have any more questions about the treatments or want to schedule a consultation, just let me know! 😊</t>
  </si>
  <si>
    <t>V2.1: Mehmet Cakir (master), Melanie, Ilona, Magda</t>
  </si>
  <si>
    <t>Semi-permanent makeup treatments are performed by our qualified and experienced semi-permanent makeup specialists; Mehmet, Magda and Melanie</t>
  </si>
  <si>
    <t>The semi-permanent makeup treatment typically takes about 1 to 2 hours, depending on the area being treated.
Additional details:
The healing process on the surface takes 5 to 14 days, with full results settling in about 4 to 6 weeks.
This treatment enhances features like eyebrows, lips, and eyeliner for a long-lasting, natural look.
Would you like to discuss booking a consultation? 😊</t>
  </si>
  <si>
    <t>The treatment protocol for semi-permanent makeup is as follows:
Consultation: Discuss your goals and concerns with the technician. Mapping and preparation take place in this phase.
Numbing: The area to be treated is numbed for comfort during the procedure.
Application: The technician uses specialized equipment to deposit pigments into the skin with precision.
Aftercare: Adhering to aftercare instructions is essential for proper healing.
Follow-up: A follow-up session is often recommended to perfect the results.
Would you like to schedule a consultation to go over these details further? 😊</t>
  </si>
  <si>
    <t>The process begins with a free consultation to discuss your desired colour, shape, and finish. On the treatment day, a numbing cream is applied before mineral-based pigment is carefully deposited into the skin. The appointment usually takes 75–180 minutes, and a touch-up may be required after 4–6 weeks, depending on the treatment selected.</t>
  </si>
  <si>
    <t>The semi-permanent makeup treatment is typically repeated every 1 to 3 years, depending on skin type, the pigments used, and aftercare followed.
Regular touch-ups can help maintain the results. Would you like to schedule a consultation to discuss this further? 😊</t>
  </si>
  <si>
    <t>Typically, 1 to 2 sessions are required to achieve the desired results for semi-permanent makeup. A follow-up session may be recommended for touch-ups to perfect the look.
Would you like to schedule a consultation to go over this in more detail? 😊</t>
  </si>
  <si>
    <t>The sensation during the semi-permanent makeup treatment can vary, but most clients find it manageable. A numbing cream is applied beforehand to minimize any discomfort. 
Some may experience mild sensations, similar to light scratching. Would you like to schedule a consultation to discuss this further? 😊</t>
  </si>
  <si>
    <t>The minimum age for semi-permanent makeup treatment is typically 18 years. There isn't a strict maximum age, as long as the individual is in good health and suitable for the procedure.
Would you like to schedule a consultation to discuss this further? 😊</t>
  </si>
  <si>
    <t>Before your semi-permanent makeup appointment, it's recommended to:
Avoid alcohol and blood thinners for at least 24 hours.
Ensure your skin is in good condition — any irritation or breakouts should be cleared up prior.
Arrive without makeup on the areas to be treated.
Would you like to schedule a consultation to discuss this further? 😊</t>
  </si>
  <si>
    <t>Currently, we do not offer packages for semi-permanent makeup treatments. Each session is priced individually, and follow-up sessions may be needed to achieve the desired results.
Would you like to schedule a consultation to discuss this further? 😊</t>
  </si>
  <si>
    <t>For semi-permanent makeup treatments, if you need to cancel or reschedule, please do so with more than 24 hours' notice to avoid a cancellation fee. This allows us to offer the appointment to someone else.
Would you like to schedule a consultation to discuss this further? 😊</t>
  </si>
  <si>
    <t>If you need to cancel or reschedule your appointment, please inform us at least 24 hours in advance. Cancellations made with less than 24 hours’ notice may incur a €50 cancellation fee.</t>
  </si>
  <si>
    <t>The exact deposit amount for semi-permanent makeup treatments will need to be confirmed by our team.
Would you like to schedule a consultation to discuss this further? 😊</t>
  </si>
  <si>
    <t>A EUR100 deposit is required for semi-permanent makeup. Since the starting price for the treatment is EUR200, I'd recommend scheduling a free consultation to confirm the exact cost based on the area and technique you're interested in. Would you like to arrange that consultation? 😊</t>
  </si>
  <si>
    <t>V2.1: EUR100 deposit stated</t>
  </si>
  <si>
    <t>We offer a variety of facial treatments! Here are the available options: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 are interested in! 😊</t>
  </si>
  <si>
    <t>It looks like we have several facial options available! Please take a look at these: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service you’re interested in! 😊</t>
  </si>
  <si>
    <t>Menu OK; still no booking link</t>
  </si>
  <si>
    <t>Add link to book a free consult or facial</t>
  </si>
  <si>
    <t>It seems I'm unable to retrieve the specific details for the facial treatments at the moment. However, generally, facials are designed to cleanse, nourish, and rejuvenate the skin, addressing various skin concerns such as hydration, anti-aging, and improving overall skin texture.
If you have a particular treatment in mind from the list I provided earlier, I recommend scheduling a consultation with one of our therapists or doctors, who can provide more tailored information.
Let me know if you’d like to choose a specific treatment or if there's anything else I can assist you with! 😊</t>
  </si>
  <si>
    <t>It seems there's a temporary issue retrieving detailed descriptions for the facial treatments.
However, generally:
Microneedling stimulates collagen production and helps improve skin texture.
Firming facials aim to lift and tighten the skin.
Exo Booster facials focus on enhancing overall skin appearance with additional nutrients.
Please let me know if you would like more specific information or have another treatment in mind! 😊</t>
  </si>
  <si>
    <t>Generic info given, flagged a retrieval issue</t>
  </si>
  <si>
    <t>Could you please specify which facial treatment you're interested in from the options I previously listed? This will help me provide you with the specific benefits related to that treatment.
Here's a quick reminder of the treatments available: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curious about! 😊</t>
  </si>
  <si>
    <t>Hello Astra! I'm Nima, the virtual receptionist at Niumee Medical Aesthetics.
The benefits of our facial treatments can vary quite a bit depending on the specific service. Here are some general benefits associated with common facial treatments:
Microneedling: Stimulates collagen production, improves skin texture, and reduces fine lines.
Firming Facials: Aims to tighten and lift the skin, providing a more youthful appearance.
Exo Booster Facials: Enhances overall skin appearance using specialized nutrients.
If you let me know which specific treatment you're interested in, I can provide more tailored benefits! 😊</t>
  </si>
  <si>
    <t>V2.1: answers generally, no menu-demand</t>
  </si>
  <si>
    <t>Could you please specify which specific facial treatment you are inquiring about? Knowing the treatment will help me provide you with accurate information regarding any potential side effects or contraindications.
Here are the options again: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</si>
  <si>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For each facial treatment, there are generally some side effects and contraindications to keep in mind:
Microneedling: 
   - Side Effects: Redness, swelling, and minor bruising are common after treatment. These typically resolve within a few days.
   - Contraindications: Not recommended for individuals with active skin infections, certain skin conditions (like eczema or psoriasis), or those on blood-thinning medications.
Firming Facials: 
   - Side Effects: Mild redness and irritation.
   - Contraindications: Sensitive skin or allergies to specific ingredients used in the facial.
Exo Booster Facials: 
   - Side Effects: Possible redness or sensitivity.
   - Contraindications: Allergies to components in the treatment.
To ensure safety, it's best to discuss any concerns during a consultation. Let me know if you'd like to schedule one! 😊</t>
  </si>
  <si>
    <t>V2.1: answered generally</t>
  </si>
  <si>
    <t>Could you please specify which facial treatment you're inquiring about? The guidelines regarding sun exposure can vary depending on the specific treatment, so knowing the exact one will help me give you the best advice.
Here are the treatments again for your reference: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 are curious about! 😊</t>
  </si>
  <si>
    <t>After most facial treatments, it's generally advisable to avoid sun exposure for 24 to 48 hours. This helps protect your skin and allows it to recover without potential irritation from UV rays.
For treatments like microneedling, it’s best to avoid direct sun for at least 48 hours to minimize any risk of pigmentation changes. Always ensure to use a good sunscreen afterward if you need to be in the sun.
If you have any further questions or need specific advice regarding your treatment, feel free to ask! 😊</t>
  </si>
  <si>
    <t>V2.1: answered</t>
  </si>
  <si>
    <t>Could you please specify which facial treatment you're inquiring about? Knowing the specific treatment will help me provide you with the relevant precautions before and after the treatment.
Here are the options for you to choose from: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</si>
  <si>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Before and after facial treatments, it’s essential to take some precautions:
Before Treatment:
Avoid using retinoids or exfoliating products for at least 3 days prior.
Drink plenty of water to keep your skin hydrated.
Avoid sun exposure or tanning beds for a week to minimize sensitivity.
After Treatment:
Avoid sun exposure for at least 24 to 48 hours.
Do not apply makeup for a few hours following the treatment.
Keep the skin moisturized and consider using gentle products to avoid irritation.
Avoid strenuous exercise and sweat-inducing activities for at least 24 hours.
If you have any more specific questions or need to schedule a consultation, just let me know! 😊</t>
  </si>
  <si>
    <t>Could you please specify which facial treatment you are inquiring about? The prices can vary based on the specific treatment you choose.
Here are the treatments for you to pick from: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</si>
  <si>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It seems I couldn't retrieve the specific pricing for facial treatments at the moment. The team will confirm the exact cost for you shortly.
If you have any more questions or would like to discuss treatments in more detail, please let me know! 😊</t>
  </si>
  <si>
    <t>Defers to team; per-facial prices exist in catalog</t>
  </si>
  <si>
    <t>Could you please specify which facial treatment you are inquiring about? Each treatment may be performed by different therapists.
Here are the options you can choose from: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</si>
  <si>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couldn't find specific information about who performs facial treatments at this time. However, I recommend checking with our team, who will provide the details for you shortly.
If you have any other questions or need assistance with something else, feel free to ask! 😊</t>
  </si>
  <si>
    <t>Defers; no facials staff answer configured</t>
  </si>
  <si>
    <t>Could you please specify which facial treatment you are inquiring about? The duration can vary depending on the specific treatment.
Here are the treatments for you to choose from: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</si>
  <si>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I'm unable to retrieve the specific duration for facial treatments at this time. However, I will have our team confirm this information for you shortly.
If there's anything else you need or if you have more questions, please let me know! 😊</t>
  </si>
  <si>
    <t>Defers although durations are in its own menu</t>
  </si>
  <si>
    <t>Could you please specify which facial treatment you're inquiring about? The treatment protocol can vary depending on the specific treatment you choose.
Here are the options for you: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</si>
  <si>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couldn't find specific information on the treatment protocol for facial treatments at this moment. I recommend checking with our team for detailed guidance on this.
If you have any other queries or need assistance, just let me know! 😊</t>
  </si>
  <si>
    <t>Defer-loop</t>
  </si>
  <si>
    <t>Could you please specify which facial treatment you are inquiring about? The frequency of repeating the treatment can vary based on the specific procedure you choose.
Here are the options for you: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</si>
  <si>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currently don't have information on how long until the treatment can be repeated. I'll have the team confirm this detail for you.
If you have more questions or need further assistance, please let me know! 😊</t>
  </si>
  <si>
    <t>Could you please specify which facial treatment you are inquiring about? The number of sessions required can vary based on the specific treatment you choose.
Here are the treatments for you to choose from: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</si>
  <si>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don't have the specific information on how many sessions are required for facial treatments. I will have our team confirm this detail for you.
If there's anything else you need or more questions arise, feel free to let me know! 😊</t>
  </si>
  <si>
    <t>The sensation during treatment can vary depending on the specific facial treatment chosen. Some treatments might involve minimal discomfort, while others could cause more sensitivity.
Could you please specify which facial treatment you're asking about? Here are the options: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</si>
  <si>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currently don’t have details on whether the treatment is painful. I will check with our team to confirm this information for you.
If you have any more questions or if there's anything else I can assist you with, just let me know! 😊</t>
  </si>
  <si>
    <t>The minimum or maximum age allowed for the treatment can depend on the specific facial treatment chosen.
Could you please specify which treatment you are referring to? Here are the options: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</si>
  <si>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don't have the specific information on the minimum or maximum age allowed for this treatment. I will check with our team to get confirmation.
If you have any other questions or need further assistance, please feel free to let me know! 😊</t>
  </si>
  <si>
    <t>Whether anything is required before the appointment can depend on the specific facial treatment chosen.
Could you please specify which treatment you're referring to? Here are the options: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</si>
  <si>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currently don't have information on whether anything is required before the appointment. I will check with our team to confirm this for you.
If you have any other questions or need further assistance, feel free to let me know! 😊</t>
  </si>
  <si>
    <t>We do offer some packages, but the details can vary by treatment category.
Could you please provide more details on which kind of treatment you are interested in? Here are the facial options again:
1) 3D Scanner Facial analysis (30 min)
2) Derma planing- facial (50 min)
3) Facial - Dermalogica Exo Booster Microneedling (90 min)
4) Facial - Dermalogica Firm + Lift / Face + Neck (105 min)
5) Facial - Dermalogica LuminFusion (90 min)
6) Facial - Dermalogica MelanoPro (60 min)
7) Facial - Dermalogica Microneedling Face &amp; Neck (75 min)
8) Facial - Dermalogica Nanoinfusion (90 min)
Please reply with the NUMBER of the treatment you're interested in! 😊</t>
  </si>
  <si>
    <t>I don't have information on whether we offer packages for treatments. I will check with our team to confirm this for you.
If there's anything else you need or any other questions, please let me know! 😊</t>
  </si>
  <si>
    <t>Defer-loop; no-packages note didn't surface</t>
  </si>
  <si>
    <t>We don't offer packages for waxing and facials</t>
  </si>
  <si>
    <t>For our cancellation policy:
If you cancel or do not show up within 24 hours of your scheduled appointment time, your deposit will be charged as a cancellation/no-show fee.
If you cancel more than 24 hours in advance, there is no charge.
Cancellations within the 24-hour window cannot be done through the app or website; you must call or send a WhatsApp message directly.
If you need more details about a specific treatment, please let me know! 😊</t>
  </si>
  <si>
    <t>I currently don't have the specific details about the cancellation policy. I will check with our team and get back to you with the information.
If you have any other questions or need further assistance, just let me know! 😊</t>
  </si>
  <si>
    <t>Defer-loop (it knew this in the first run)</t>
  </si>
  <si>
    <t>The deposit amount required can vary by treatment, and this category isn’t a standard deposit tier.
The team will confirm the exact deposit amount for your specific treatment. If you let me know which treatment you're interested in, I can help further! 😊</t>
  </si>
  <si>
    <t>I don't have the exact deposit amount required for your appointment. I will check with our team to confirm this for you.
If you have any other questions or need further assistance, just let me know! 😊</t>
  </si>
  <si>
    <t>Defer-loop; EUR20 tier didn't surface. Known issue: after several failed lookups the session copies its own 'I'll check with the team' pattern</t>
  </si>
  <si>
    <t>This is wrong. Deposit is 20 euros.</t>
  </si>
  <si>
    <t>We offer several nail services! Here are your options:
1) Add on Air Brush Nail art (15 min)
2) ADD on French or nail art (15 min)
3) Air Brush nail art (15 min)
4) Extra Long Length Full set nails (120 min)
5) Full Set - Long length Gel Nails (90 min)
6) Full set nails - Short/Medium Length (90 min)
7) Infills- Long length Nails (90 min)
8) Ingrown toe nail removal (1-2 sides) (30 min)
Please reply with just the NUMBER corresponding to the service you're interested in! 😊</t>
  </si>
  <si>
    <t>Good response</t>
  </si>
  <si>
    <t>Can I just come to apply gel polish on my feet?</t>
  </si>
  <si>
    <t>It seems I need to confirm this specifically with our team. We do offer gel polish services for feet, but I'll need to verify the details, including pricing and availability. Would you like me to follow up on this and get back to you shortly? 😊</t>
  </si>
  <si>
    <t>Deferred to team; approved describes soak/scrub/colour pedicure</t>
  </si>
  <si>
    <t>This is mentioning the soak, scrub and color application ped</t>
  </si>
  <si>
    <t>I dont want the soak and scrub - i just want them to apply color, is this possible?</t>
  </si>
  <si>
    <t>I understand you're looking for just the gel polish application without the soak and scrub. Let me check this with our team to confirm if that's an option available for you.
I'll follow up shortly with the information! 😊</t>
  </si>
  <si>
    <t>Deferring OK - service doesn't exist yet per Clarissa</t>
  </si>
  <si>
    <t>We need to add this on our services list as we do not have this as an option</t>
  </si>
  <si>
    <t>I’ll need to check with our team to gather accurate information regarding any potential side effects or contraindications related to the gel polish service.
I'll make sure to follow up with you shortly! 😊</t>
  </si>
  <si>
    <t>For nail services, there are generally no serious side effects or contraindications if performed by professionals. However, there are a few considerations:
Nail Damage: Overuse of certain treatments (like gels or acrylics) can weaken natural nails.
Allergies: Some clients may have allergic reactions to specific nail products.
Infections: Improper techniques during nail care can lead to infections or irritations.
Skin Sensitivities: Individuals with sensitive skin around the nails should be cautious.
It's always best to discuss your specific needs with the technician on the day of your appointment. Do you have any other questions or would you like to book an appointment? 😊</t>
  </si>
  <si>
    <t>I will check for any precautions you should take before or after the gel polish treatment.
I'll get back to you shortly with that information! 😊</t>
  </si>
  <si>
    <t>For nail treatments, here are some common precautions to consider before and after:
Before Treatment:
Consultation: It’s helpful to inform the technician about any allergies or sensitivities you may have.
Clean Nails: Arrive with clean nails to ensure the best treatment results.
Avoid Moisturizers: Do not apply lotion or oil to your hands or nails prior to treatment to allow for better adhesion of products.
After Treatment:
Drying Time: If polish is applied, give it adequate time to dry fully to avoid smudging.
Moisturization: Apply moisturizer to keep your hands hydrated, especially focusing on the cuticles.
Avoid Harsh Chemicals: Try to avoid exposing your nails to harsh cleaning products immediately after treatment.
Protective Measures: Consider wearing gloves when doing chores to protect your nails.
If you have specific concerns or would like to book an appointment, just let me know! 😊</t>
  </si>
  <si>
    <t>How much does infills cost?</t>
  </si>
  <si>
    <t>The cost for infills is starting from €45.
If you have any other questions or need further information, feel free to ask! 😊</t>
  </si>
  <si>
    <t>The cost for infills of long-length nails is starting from €45. 
Duration for this service is approximately 90 minutes. If you would like to book an appointment or have any other questions, just let me know! 😊</t>
  </si>
  <si>
    <t>Still EUR45 (Zenoti catalog price). Clarissa wrote EUR40 in one answer and EUR50 in another - needs her confirmation before we change data</t>
  </si>
  <si>
    <t>infills are 40</t>
  </si>
  <si>
    <t>It seems I couldn't find specific details on who performs the infills treatment at this moment. Typically, our nail technicians handle treatments like this.
Would you like me to confirm the names of our nail technicians for you? 😊</t>
  </si>
  <si>
    <t>The nail treatments, including infills, are performed by our skilled nail technicians:
Frima Dag-o
Mary Gorret Nabukeera
Nashra Apad
Natalia Dabrowska
If you have any specific requests or would like to book an appointment with one of them, just let me know! 😊</t>
  </si>
  <si>
    <t>V2.1: all four nail technicians named</t>
  </si>
  <si>
    <t>Needs to include all the names of nail techs</t>
  </si>
  <si>
    <t>The infills treatment typically takes around 90 minutes.
If you have any other questions or need more information, just let me know! 😊</t>
  </si>
  <si>
    <t>Can i have a breakdown of prices for mani and pedi services</t>
  </si>
  <si>
    <t>Here’s a breakdown of the prices for manicure and pedicure services:
Manicure Options:
Basic Manicure: €20 (Duration: 30 minutes)
Pedicure Options:
Luxury Pedicure: €45 (Duration: 90 minutes)
Gehwol Herbal Pedicure: €40 (Duration: 60 minutes)
Gehwol Herbal Pedicure &amp; Polish: €45 (Duration: 75 minutes)
Teen + Gehwol Herbal Pedicure: €28 (Duration: 60 minutes)
Teen + Gehwol Herbal Pedicure &amp; Polish: €32 (Duration: 75 minutes)
If you need any more information or have further questions, feel free to ask! 😊</t>
  </si>
  <si>
    <t>Good breakdown but thin manicure options, no infills</t>
  </si>
  <si>
    <t>Included infills at 50 euros</t>
  </si>
  <si>
    <t>Does the gehwol pedicure include color application?</t>
  </si>
  <si>
    <t>The Gehwol Herbal Pedicure does not include color application. However, you can opt for the Gehwol Herbal Pedicure &amp; Polish, which does include color application.
If you have any other questions or need further details, just let me know! 😊</t>
  </si>
  <si>
    <t>Correct yes/no but didn't give 40/45 price difference</t>
  </si>
  <si>
    <t>Mention the price difference. If client wants a gehwol pedicure price is 40 euros, should you wish to book a gehwol pedi with color application the price is 45</t>
  </si>
  <si>
    <t>The Gehwol Herbal Pedicure is recommended to be repeated every 6 weeks for optimal results.
If you have any more questions or need further assistance, just let me know! 😊</t>
  </si>
  <si>
    <t>Generally, there are no specific requirements before your appointment for the Gehwol Herbal Pedicure. However, it is always a good idea to come with clean feet to enhance the treatment experience.
If you have any further questions or need more details, just let me know! 😊</t>
  </si>
  <si>
    <t>Currently, we do not have specific packages available for the manicure and pedicure services. However, our team can confirm any special offers or packages that might become available in the future.
If you have any other questions or need further assistance, feel free to reach out! 😊</t>
  </si>
  <si>
    <t>Correct 'no packages' but missing March/October open-days detail</t>
  </si>
  <si>
    <t>We do not offer packages. Packages are only created and able to purchase during our open weekends in march and october were one would benefit from a discount.</t>
  </si>
  <si>
    <t>For services like the Gehwol Herbal Pedicure, if you cancel or do not show up within 24 hours of your scheduled appointment time, your deposit will be charged as a cancellation or no-show fee.
To avoid this fee, make sure to cancel more than 24 hours in advance.
If you need further assistance or have any more questions, just let me know! 😊</t>
  </si>
  <si>
    <t>The exact deposit amount for your appointment is not specified. I will need to confirm this with the team for you.
If you have any other questions or need further assistance, please let me know! 😊</t>
  </si>
  <si>
    <t>A deposit of €20 is required for nail services, including infills. 
If you would like to proceed with booking an appointment or have any other questions, just let me know! 😊</t>
  </si>
  <si>
    <t>V2.1: EUR20</t>
  </si>
  <si>
    <t>Deposit is 20 euros.</t>
  </si>
  <si>
    <t>Yes, we do offer Botox and fillers at Niumee Medical Aesthetics.
Botox Options:
Botox Lip Flip
   - Price: Starting from €60
   - Duration: Approximately 15 minutes
   - Helps smooth fine lines and wrinkles.
Standard Botox
   - Price: Starting from €265
   - Duration: Approximately 15 minutes
   - Designed to reduce facial wrinkles.
Botox for Excessive Sweating
   - Price: Approximately €500
   - Duration: Approximately 15 minutes
   - Targets excessive sweating in specific areas.
Unfortunately, I don't have specific pricing or service details on fillers at this moment. If you're interested in fillers, I would recommend a consultation to discuss the options available.
Would you like to arrange a consultation or have any other questions? 😊</t>
  </si>
  <si>
    <t>Yes, we offer both Botox and dermal filler treatments at Niumee. A consultation with one of our qualified medical doctors is recommended to determine the most suitable treatment for your needs.</t>
  </si>
  <si>
    <t>What does the treatment do? (asked separately for botox and fillers)</t>
  </si>
  <si>
    <t>Here’s what you need to know about Botox and fillers:
Botox:
What it does: Botox is a non-surgical treatment that helps reduce wrinkles and fine lines in areas like the forehead and around the eyes.
How it works: It relaxes targeted facial muscles to prevent them from contracting, which creates smoother skin.
Duration of results: Typically lasts 4 to 6 months, with effects becoming noticeable after about 10 days.
Benefits: Softens dynamic lines, creates a fresher appearance, and can also help with excessive sweating.
Recommended for: Forehead lines, frown lines, crow’s feet, and more.
More info: [Botox Treatment](https://niumee.com/treatments/botox/)
Unfortunately, I don't have specific information on fillers at the moment. Would you like to arrange a consultation to discuss the options available for fillers? 😊</t>
  </si>
  <si>
    <t>The benefits of Botox include:
Reduces Fine Lines and Wrinkles: Helps soften dynamic lines on the forehead, around the eyes, and frown lines, creating a smoother appearance.
Non-Surgical and Quick Treatment: Typically a 15-minute procedure with no downtime, allowing you to return to regular activities immediately.
Prevents Deeper Wrinkles: Regular treatments can help prevent the formation of deeper lines and wrinkles over time.
Versatile Treatment: Can be used for various areas, including crow's feet, bunny lines, and even for excessive sweating.
As for fillers, I don't have specific details at this moment. If you're interested, I recommend scheduling a consultation to discuss the various filler options and their benefits.
Would you like to arrange a consultation? 😊</t>
  </si>
  <si>
    <t>Botox may have some side effects and contraindications that are important to consider. Here are a few common ones:
Possible Side Effects:
Mild pain or swelling at the injection site
Temporary bruising
Headache
Flu-like symptoms
Droopy eyelids or uneven eyebrows (rare)
Contraindications:
Allergies to any ingredients in Botox
Active skin infections at the injection site
Neuromuscular diseases (like myasthenia gravis)
Pregnant or breastfeeding women should consult their doctor before treatment.
For fillers, I currently don’t have specific details available. I recommend scheduling a consultation for a thorough assessment of both Botox and fillers to discuss any concerns.
Would you like to arrange that consultation? 😊</t>
  </si>
  <si>
    <t>After Botox treatment, it is generally advised to avoid sun exposure for at least 24 to 48 hours. This helps reduce the risk of irritation or complications at the injection sites.
If you're considering fillers, similar guidelines typically apply, but I recommend discussing this further during a consultation for more tailored advice.
Would you like to schedule that consultation? 😊</t>
  </si>
  <si>
    <t>We recommend avoiding direct sun, sunbeds, saunas, and excessive heat for at least 24–48 hours after treatment, as heat may increase swelling or bruising. For fillers, continue avoiding prolonged sun exposure until any redness, swelling, or bruising has settled. Always apply a high-SPF sunscreen an</t>
  </si>
  <si>
    <t>Before and after Botox treatment, there are some important precautions to keep in mind:
Before the Treatment:
Avoid blood-thinning medications (like aspirin or ibuprofen) for a few days to reduce the risk of bruising.
Limit alcohol consumption for at least 24 hours prior, as it can also increase bruising.
Ensure the area to be treated is free of any infections or irritations.
After the Treatment:
Avoid sun exposure for at least 24 to 48 hours.
Refrain from strenuous exercise for the first 24 hours.
Avoid hot showers, saunas, and facials for the first 24 hours.
If you're considering fillers, I recommend discussing additional precautions during a consultation.
Would you like to arrange that consultation? 😊</t>
  </si>
  <si>
    <t>Great response</t>
  </si>
  <si>
    <t>The costs for Botox treatments are as follows:
Botox (standard): Starting from €265.
Botox Lip Flip: €60.
Botox for Excessive Sweating (Hyperhidrosis): €500.
These prices may vary based on the specific areas being treated. Would you like to schedule a consultation or a specific treatment? 😊</t>
  </si>
  <si>
    <t>Starting prices OK; approved prefers consultation-based framing; filler prices missing</t>
  </si>
  <si>
    <t>The cost depends on the treatment area, the number of Botox units required, and the type and amount of filler needed. This is why a consultation is recommended, as the doctor can assess your concerns, advise what treatment would be most suitable, and provide an accurate total cost based on your individual needs.</t>
  </si>
  <si>
    <t>The following medical aesthetic physicians perform Botox treatments at Niumee:
Dr. Tyron Pillow  
   - Specializations: Botox &amp; Fillers, among others.  
   - Contact: drpillow@icloud.com  
Dr. Ciskje Zarb  
   - Specializations: Rhinoplasty fillers, Botox &amp; Fillers, and more.  
   - Contact: ciskjezarb@gmail.com  
Dr. Lana Stojakovic  
   - Specializations: Botox, Radiesse, Skin Boosters.  
   - Contact: lana.stojakovic@stjameshospital.com  
Dr. Santosh Kumar  
   - Specializations: Botox and Threadlifts (available only on Saturdays).  
   - Contact: santhoshkumar@live.co.uk  
Would you like to book an appointment with any of them? 😊</t>
  </si>
  <si>
    <t>The treatments for Botox and fillers are performed by our qualified medical doctors:
Dr Pillow
Dr Lana
Dr Ciskje
Dr Thea
Note: Dr Kumar also performs Botox, but only on Saturdays.
If you have more questions or need help scheduling, just let me know! 😊</t>
  </si>
  <si>
    <t>V2.1: all doctors incl Dr Thea, Dr Kumar Saturdays note; no personal emails leaked</t>
  </si>
  <si>
    <t>Botox and dermal filler treatments are performed by our qualified medical doctors; Dr Pillow, Dr Lana, Dr Ciskje and Dr Kumar (Dr Kumar only Botox). The most suitable doctor will be assigned based on the treatment required and appointment availability.</t>
  </si>
  <si>
    <t>The Botox treatment takes approximately 15 minutes. 
This includes all aspects of the procedure, allowing you to resume normal activities immediately afterward since it requires virtually no downtime. 
Would you like to book an appointment or consult further? 😊</t>
  </si>
  <si>
    <t>The treatment usually takes around 15 minutes, depending on the areas being treated and the amount of product required.</t>
  </si>
  <si>
    <t>The Botox treatment should typically be repeated every 4 to 6 months to maintain the desired results. 
Would you like to schedule your next appointment or have any further questions? 😊</t>
  </si>
  <si>
    <t>Botox generally requires only one session at a time, and the effects typically last for 4 to 6 months. Therefore, the treatment is repeated as needed based on individual results.
Would you like to schedule your appointment or discuss anything else? 😊</t>
  </si>
  <si>
    <t>Botox injections can cause some discomfort, but most clients describe it as mild and brief. A very fine needle is used, and the sensation is often compared to a little pinch. 
If you have concerns about pain, we can discuss options to make the experience more comfortable. Would you like to learn more or book an appointment? 😊</t>
  </si>
  <si>
    <t>Botox is typically recommended for individuals aged 18 and older. There is no strict maximum age limit, but it is essential for anyone considering the treatment to have a consultation with a medical professional to assess their suitability.
Would you like to arrange a consultation or have any other questions? 😊</t>
  </si>
  <si>
    <t>Before your Botox appointment, it's recommended to avoid blood thinners, alcohol, and certain medications like aspirin or ibuprofen for at least 24 hours. This helps minimize any potential bruising.
Additionally, you'll have a consultation to discuss your medical history and any concerns. Would you like to book your appointment now or have any other questions? 😊</t>
  </si>
  <si>
    <t>We do have certain packages available for specific treatments, but Botox does not have a package option as pricing depends on the area treated and the products used.
For other services like laser hair removal and sports therapy, package options do exist. Would you like more information on those or perhaps schedule a Botox appointment? 😊</t>
  </si>
  <si>
    <t>We do not currently offer packages for Botox or dermal fillers. The cost is based on the treatment area and the amount of product required</t>
  </si>
  <si>
    <t>For Botox and other medical treatments, there is no cancellation fee and no no-show fee, regardless of the notice provided.
If you cancel or reschedule for other treatment categories within 24 hours, your deposit will be charged as a fee. If you need assistance with anything else or would like to book your appointment, please let me know! 😊</t>
  </si>
  <si>
    <t>If you need to cancel or reschedule your appointment, please inform us at least 24 hours in advance.</t>
  </si>
  <si>
    <t>The exact deposit amount for your appointment will need to be confirmed by the team.
If you have any more questions or would like to book your appointment, please let me know! 😊</t>
  </si>
  <si>
    <t>No deposit is required and no no-show fee is charged for Botox, Fillers, or Skin Boosters.
If you have any other questions or need assistance with booking, just let me know! 😊</t>
  </si>
  <si>
    <t>V2.1: no deposit, no no-show fee</t>
  </si>
  <si>
    <t>No, we do not currently require a deposit for Botox, filler, or skin booster appointments.</t>
  </si>
  <si>
    <t>It appears that I cannot confirm the availability of skin boosters at this moment. I recommend checking in with our team directly for detailed information on this service. If you have any other specific questions or need assistance with something else, feel free to ask! 😊</t>
  </si>
  <si>
    <t>Yes, we do offer skin boosters! 
The next available appointment for a consultation is on July 21, 2026, at 18:45. This session will take about 15 minutes. 
Would this time work for you? 😊</t>
  </si>
  <si>
    <t>Confirms + offers slot; should list the 7 products</t>
  </si>
  <si>
    <t>We currently offer Radiesse, Sculptra, and Lanluma, Profhilo, Juvederm Volite, Teosyal Redensity 1, and Ameela. The most suitable option will be recommended by the doctor based on your skin concerns and desired results.</t>
  </si>
  <si>
    <t>I’m currently unable to find specific information about what skin boosters do. I recommend reaching out to our team directly for detailed insights on this treatment. If there's anything else you'd like to know, just let me know! 😊</t>
  </si>
  <si>
    <t>Here’s what the skin boosters treatments do:
Juvederm Volite  
   - Purpose: Enhances skin hydration, elasticity, and smoothness for a radiant look lasting several months.  
   - How it works: Injected into the skin to improve quality and glow.  
   - Recovery Time: Minimal, with most returning to daily activities immediately.
Lanluma Bio-Stimulators  
   - Purpose: Restores volume and improves skin texture while stimulating collagen production.  
   - How it works: Poly-L-lactic acid triggers collagen production over several weeks.  
   - Recovery Time: Minimal; mild swelling or redness may occur for 2-5 days.
Profhilo  
   - Purpose: Deep hydration and remodeling to improve firmness and elasticity.  
   - How it works: Promotes the natural production of collagen and elastin.  
   - Recovery Time: Minimal; mild redness or swelling typically resolves within 24–48 hours.
If you have any more questions or would like to book a consultation, just let me know! 😊</t>
  </si>
  <si>
    <t>V2.1: product-level detail from new knowledge row</t>
  </si>
  <si>
    <t>Good response, but also mention the other skin boosters</t>
  </si>
  <si>
    <t>I still cannot find specific information about the benefits of skin boosters at this moment. I recommend contacting our team directly for detailed explanations. If there’s anything else I can assist you with, please let me know! 😊</t>
  </si>
  <si>
    <t>The benefits of the skin boosters treatments are:
Juvederm Volite  
   - Improves hydration, elasticity, and overall skin quality.  
   - Supports collagen stimulation for a more youthful appearance.
Lanluma Bio-Stimulators  
   - Gradually enhances skin firmness and smoothness.  
   - Promotes natural collagen production without traditional fillers.
Profhilo  
   - Deeply hydrates while improving skin texture and tone.  
   - Stimulates collagen and elastin for improved elasticity.
These treatments are designed to target dehydrated, dull, or uneven skin, providing a refreshed and radiant look. If you have any more questions or want to go ahead with booking, let me know! 😊</t>
  </si>
  <si>
    <t>V2.1</t>
  </si>
  <si>
    <t>I’m still unable to find specific information about the side effects or contraindications of skin boosters. It would be best to reach out to our team for the most accurate answers. If there's anything else you'd like help with, just let me know! 😊</t>
  </si>
  <si>
    <t>Here are the side effects and contraindications for the skin boosters treatments:
Juvederm Volite  
   - Possible Side Effects: Mild redness, swelling, or small bumps at the injection sites, which usually resolve within 24–48 hours.  
   - Contraindications: Not recommended for individuals with severe allergies or those with a history of anaphylaxis.
Lanluma Bio-Stimulators  
   - Possible Side Effects: Mild swelling, redness, or tenderness at the injection sites, subsiding in 2–5 days.  
   - Contraindications: Not suitable for those with a known hypersensitivity to poly-L-lactic acid, or active skin infections in the treatment areas.
Profhilo  
   - Possible Side Effects: Mild redness or swelling at injection sites, typically resolving within 24–48 hours.  
   - Contraindications: Avoid in individuals with a known allergy to hyaluronic acid or other components of the treatment.
If you have any more questions, or if you'd like to proceed with booking a consultation, just let me know! 😊</t>
  </si>
  <si>
    <t>I’m unable to confirm specific aftercare instructions regarding sun exposure after skin booster treatments at this moment. It’s best to consult with our team for accurate advice on that. If you have any other questions or need assistance, feel free to reach out! 😊</t>
  </si>
  <si>
    <t>After receiving skin boosters treatments, it's generally recommended to avoid direct sun exposure for at least 24–48 hours. This helps minimize the risk of irritation or adverse reactions at the injection sites.
Once the initial healing period has passed, you can gradually resume sun exposure, but it's best to use a high-SPF sunscreen to protect your skin.
If you have more questions or would like to book a consultation, feel free to ask! 😊</t>
  </si>
  <si>
    <t>I still cannot confirm specific precautions to take before or after skin booster treatments. It's best to reach out to our team for the most accurate advice on this. If there's anything else you need or more questions, feel free to ask! 😊</t>
  </si>
  <si>
    <t>It seems there isn't specific information available regarding precautions before or after skin boosters from the tools. However, generally, here are some common precautions:
Before Treatment:  
Avoid blood-thinning medications (like aspirin or ibuprofen) for a few days prior to reduce the risk of bruising.  
Stay hydrated and inform your doctor about any skin conditions or allergies.
After Treatment:  
Avoid intense physical activity for 24 hours.  
Do not apply makeup for at least 24 hours to reduce the risk of infection.  
Keep the treated area clean and moisturized; refrain from using harsh skincare products.
If you have more questions or would like to proceed with booking a consultation, just let me know! 😊</t>
  </si>
  <si>
    <t>V2.1: sensible general guidance</t>
  </si>
  <si>
    <t>Very good response</t>
  </si>
  <si>
    <t>I couldn't find the specific pricing for skin boosters at this moment. It's best to reach out to our team directly for the most accurate information on costs. If there's anything else you want to know, just let me know! 😊</t>
  </si>
  <si>
    <t>It appears I cannot retrieve specific pricing information for skin boosters at the moment. 
Typically, the cost of skin boosters varies depending on the specific treatment chosen, and a consultation is necessary for the doctor to determine the best option and provide a tailored price.
If you would like to book a consultation or have further questions, please let me know! 😊</t>
  </si>
  <si>
    <t>Consultation framing OK but missing 'from EUR290'</t>
  </si>
  <si>
    <t>Skin booster treatments at Niumee start from €290. The final price depends on the product used, such as Teosyal Redensity 1, Juvederm Volite, or Profhilo, and the recommended treatment plan.</t>
  </si>
  <si>
    <t>The skin booster treatments are performed by the following medical aesthetic physicians:
Dr Tyron Pillow  
   - Specialties: Botox &amp; Fillers, Skin Boosters, and more.
Dr Ciskje Zarb  
   - Specialties: Skin Boosters, Botox &amp; Fillers, and more.
Dr Lana Stojakovic  
   - Specialties: Skin Boosters, Botox, and more.
If you have any more questions or need assistance, feel free to ask! 😊</t>
  </si>
  <si>
    <t>Skin boosters are performed by our qualified medical doctors:
Dr Pillow
Dr Lana
Dr Ciskje
Dr Thea
If you have any more questions or if you'd like to book a consultation with one of them, please let me know! 😊</t>
  </si>
  <si>
    <t>V2.1: all four doctors incl Dr Thea</t>
  </si>
  <si>
    <t>These treatments are performed by our qualified medical doctors. Dr Pillow, Dr Lana, Dr Ciskje, Dr Thea</t>
  </si>
  <si>
    <t>I couldn't find the specific duration for skin booster treatments right now. It's best to consult directly with our team for the most accurate information on that.
If there's anything else you'd like to know, just let me know! 😊</t>
  </si>
  <si>
    <t>It seems I cannot retrieve the specific duration for skin booster treatments at the moment.
Typically, these treatments can take around 15 to 30 minutes, but it can vary based on the specific procedure.
If you would like to book a consultation or have more questions, feel free to ask! 😊</t>
  </si>
  <si>
    <t>Gave typical 15-30 min with a hedge</t>
  </si>
  <si>
    <t>I don't have the specific information on how frequently skin booster treatments are repeated. It's best to consult with our team to get the most accurate advice on that.
If you have any other questions or need assistance, feel free to reach out! 😊</t>
  </si>
  <si>
    <t>The frequency of repeating skin booster treatments typically depends on the specific type of treatment and individual skin needs. Generally, sessions can be repeated every 4 to 8 weeks for optimal results.
If you have further questions or would like to schedule a consultation to discuss your specific needs, just let me know! 😊</t>
  </si>
  <si>
    <t>I currently don't have the specific information on how many sessions of skin booster treatments are typically required. It's best to consult with our team for accurate advice on this.
If you have any other questions, feel free to ask! 😊</t>
  </si>
  <si>
    <t>The number of sessions required for skin boosters can vary based on individual skin types and specific goals. Generally, most clients benefit from a series of 2 to 4 sessions for optimal results.
If you're interested, we can set up a consultation to discuss your specific needs further. Just let me know! 😊</t>
  </si>
  <si>
    <t>I don't have specific information on the pain level associated with skin booster treatments. It's best to consult with our team to get the most accurate advice on that.
If you have any other questions or need assistance, feel free to ask! 😊</t>
  </si>
  <si>
    <t>Skin booster treatments are typically well-tolerated, but you may experience some mild discomfort during the procedure. To make the experience more comfortable, a topical numbing cream is usually applied beforehand.
If you have more questions or would like to book a consultation, please let me know! 😊</t>
  </si>
  <si>
    <t>I don't have specific information on the minimum or maximum age allowed for skin booster treatments. It's best to consult with our team to get the most accurate guidelines on this.
If there's anything else you'd like to know, feel free to ask! 😊</t>
  </si>
  <si>
    <t>Skin boosters are generally suitable for adults aged 18 and above. There may not be a strict upper age limit as long as the individual is in good health and not contraindicated for treatment.
If you have further questions or would like to book a consultation to discuss anything specific, please let me know! 😊</t>
  </si>
  <si>
    <t>I currently don't have specific information on what is required before the appointment for skin booster treatments. Consulting with our team would provide you with the most accurate details on this.
If there's anything else you'd like to know, feel free to ask! 😊</t>
  </si>
  <si>
    <t>Before your skin booster appointment, it's advisable to avoid any blood thinners, such as alcohol or certain medications, for at least 24 hours. Also, ensure your skin is clean and free from makeup on the day of the treatment.
If you have any more questions or would like to book a consultation, please let me know! 😊</t>
  </si>
  <si>
    <t>It seems we currently do not offer any packages for skin booster treatments. If you have any other specific services or treatments in mind, please let me know, and I can check for availability or additional information! 😊</t>
  </si>
  <si>
    <t>Currently, we do not have any packages specifically for skin boosters. Each treatment is typically priced individually.
If you'd like more information or would like to schedule a consultation, feel free to let me know! 😊</t>
  </si>
  <si>
    <t>V2.1: correct no-packages</t>
  </si>
  <si>
    <t>We do not currently offer packages for Botox, fillers, or skin boosters. Prices are based on the specific treatment and product required.</t>
  </si>
  <si>
    <t>For cancellation policies, here's the information:
If you cancel or do not show up within 24 hours of your scheduled appointment time, a cancellation/no-show fee will apply, which is the same as your deposit amount.
If you have further questions or need assistance with anything else, feel free to ask! 😊</t>
  </si>
  <si>
    <t>For skin boosters, there is no cancellation fee and no no-show fee, regardless of the notice you give. However, it's best to inform us as soon as possible if you need to change or cancel your appointment.
If you have more questions or would like to book a consultation, just let me know! 😊</t>
  </si>
  <si>
    <t>V2.1: fee-exempt correctly applied</t>
  </si>
  <si>
    <t>The team will confirm the exact deposit amount you need to pay. If you have any other questions or need further assistance, feel free to ask! 😊</t>
  </si>
  <si>
    <t>No deposit is required and there is no no-show fee for skin boosters. You can proceed with your appointment without paying anything upfront.
If you have any more questions or would like to book your consultation, please let me know! 😊</t>
  </si>
  <si>
    <t>V2.1: no deposit</t>
  </si>
  <si>
    <t>We do offer Gynae &amp; Sexual Wellness Consultations. These consultations are arranged through our doctor and cannot be booked online directly. Would you like me to check the soonest available appointment for a consultation, or can I take your name and number for the doctor to confirm? 😊</t>
  </si>
  <si>
    <t>Yes, we do offer Gynae &amp; Sexual Wellness Consultation services. However, these are arranged through a consultation with our doctor and cannot be booked online directly.
Would you like to schedule the soonest appointment for this consultation? If so, I can assist you with the details! 😊</t>
  </si>
  <si>
    <t>Still doesn't name Dr Silvaine Dalli</t>
  </si>
  <si>
    <t>Needs to mention Dr Silvaine Dalli not only Dr Chiara</t>
  </si>
  <si>
    <t>I don't have specific information about precautions before or after the Gynae &amp; Sexual Wellness Consultation. It's best to confirm these details directly with the doctor during your appointment. Would you like me to help you schedule a consultation? 😊</t>
  </si>
  <si>
    <t>Good response, but always mentions dr chiara</t>
  </si>
  <si>
    <t>I don't have the exact pricing details for the Gynae &amp; Sexual Wellness Consultation at the moment. I recommend confirming this information with the doctor during your appointment. Would you like me to assist you in scheduling a consultation? 😊</t>
  </si>
  <si>
    <t>A Gynae &amp; Sexual Wellness Consultation costs €95. 
If you're interested, I can help you schedule the soonest appointment for this consultation! 😊 Would you like to proceed with that?</t>
  </si>
  <si>
    <t>EUR95 consultation correct; smear/scan breakdown not yet defined (need numbers from Donna/Clarissa)</t>
  </si>
  <si>
    <t>Should give a price breakdown if just consult, smear or scan or all together etc. also has to mention dr silvaine dalli</t>
  </si>
  <si>
    <t>The Gynae &amp; Sexual Wellness Consultations are performed by the following doctors:
Dr Chiara Frendo Balzan - Sexual Wellness Gynaecologist
Dr Silvaine Dalli - Sexual Wellness Gynaecologist
Dr Donia Gamoudi - Sexual Wellness Gynaecologist/Specialist
Would you like to schedule an appointment with one of them? 😊</t>
  </si>
  <si>
    <t>All three doctors incl. Dr Silvaine + Dr Donia</t>
  </si>
  <si>
    <t>I don't have the specific duration for the Gynae &amp; Sexual Wellness Consultation at the moment. It's best to confirm this detail directly with the doctor during your appointment. Would you like assistance in scheduling a consultation? 😊</t>
  </si>
  <si>
    <t>'No info' defer; V1 answered with substance</t>
  </si>
  <si>
    <t>Good ok, but always mentions dr chiara</t>
  </si>
  <si>
    <t>I don't have specific information on how often the Gynae &amp; Sexual Wellness Consultation should be repeated. This would be best discussed directly with the doctor during your appointment. Would you like help in scheduling a consultation? 😊</t>
  </si>
  <si>
    <t>Same defer</t>
  </si>
  <si>
    <t>I don't have specific information on whether the Gynae &amp; Sexual Wellness Consultation is painful. Discussing any concerns regarding pain would be best during your appointment with the doctor. Would you like help in scheduling a consultation? 😊</t>
  </si>
  <si>
    <t>I don't have specific information about the minimum or maximum age allowed for the Gynae &amp; Sexual Wellness Consultation. This would be best clarified directly with the doctor during your appointment. Would you like assistance in scheduling a consultation? 😊</t>
  </si>
  <si>
    <t>I don't have specific information on whether anything is required before the Gynae &amp; Sexual Wellness Consultation. It would be best to confirm this directly with the doctor during your appointment. Would you like help in scheduling a consultation? 😊</t>
  </si>
  <si>
    <t>For the Gynae &amp; Sexual Wellness Consultation, if you cancel or do not show up within 24 hours of your scheduled appointment time, there is a cancellation/no-show fee that your deposit will cover. Would you like assistance in scheduling a consultation? 😊</t>
  </si>
  <si>
    <t>I don't have the exact deposit amount for the Gynae &amp; Sexual Wellness Consultation at the moment. The team will confirm this detail for you. Would you like assistance in scheduling a consultation? 😊</t>
  </si>
  <si>
    <t>A €50 deposit is required for any Gynae appointment, including the Gynae &amp; Sexual Wellness Consultation.
If you're ready to schedule your appointment, just let me know and I can assist you further! 😊</t>
  </si>
  <si>
    <t>V2.1: EUR50</t>
  </si>
  <si>
    <t>Deposit is 50 euros.</t>
  </si>
  <si>
    <t>It seems I could not find specific information on sports therapy in our system. However, I can confirm that we do offer sports therapy services at Niumee.
Could you please let me know what specific details you're interested in, such as treatments, pricing, or booking an appointment? 😊</t>
  </si>
  <si>
    <t>It seems that I couldn't find specific information about sports therapy in our system. However, I can confirm with the team if we offer this service. Would you like me to proceed with that?</t>
  </si>
  <si>
    <t>Still says 'couldn't find in system' - needs umbrella handling like Skin Boosters</t>
  </si>
  <si>
    <t>Yes, we offer sports therapy at Niumee. You can book your consultation through the following link: https://niumee.com/treatments/sports-therapy/</t>
  </si>
  <si>
    <t>Here's what you need to know about sports therapy:
Treatment: Sports Therapy
What it does:  
Focuses on preventing, assessing, and rehabilitating musculoskeletal injuries.  
Aims to improve athletic performance and overall physical health.  
Combines rehabilitation, exercise, and manual therapy.
Benefits:  
Helps athletes recover from injuries.  
Prevents future injuries and enhances performance.  
Addresses muscular imbalances and postural problems.
How it works:  
Involves assessment and tailored exercise programs.  
May include manual therapy, soft tissue manipulation, and rehabilitation exercises.  
Personalized approach based on individual needs.
Recommended for:  
Clients looking for maintenance, injury recovery, or improved physical performance.
Would you like to know about booking an appointment or pricing details? 😊</t>
  </si>
  <si>
    <t>The benefits of sports therapy include:
Injury Recovery: Helps athletes recover effectively from injuries.
Prevention: Reduces the risk of future injuries by addressing underlying issues.
Performance Enhancement: Improves overall athletic performance through tailored rehabilitation.
Muscular Balance: Addresses muscular imbalances and postural problems to support safer training.
Customized Care: Provides a personalized approach that includes assessment, exercise programs, and manual therapy.
Would you like more details on pricing or to schedule an appointment? 😊</t>
  </si>
  <si>
    <t>Sports therapy can help reduce pain, improve mobility and flexibility, support injury recovery, and enhance physical performance. It may also help prevent future injuries by addressing muscle tension, weakness, and movement imbalances.</t>
  </si>
  <si>
    <t>Sports therapy generally has minimal side effects, but potential contraindications may include:
Acute Injuries: Avoid therapy immediately after an injury until assessed by a healthcare professional.
Severe Pain: If experiencing severe pain, consult a healthcare provider before starting therapy.
Certain Medical Conditions: Conditions such as severe osteoporosis, fractures, or infections may require caution.
It's always best to consult a qualified therapist to evaluate your specific situation prior to starting treatment.
If you have any other questions or would like assistance booking an appointment, just let me know! 😊</t>
  </si>
  <si>
    <t>Before and after sports therapy, it's recommended to follow these precautions:
Before Treatment:
Hydrate: Drink plenty of water to keep your muscles hydrated.
Avoid Heavy Meals: Don't eat a large meal right before your session.
Inform the Therapist: Disclose any medical history, current medications, or recent injuries.
After Treatment:
Hydrate Again: Continue to drink water to help with recovery.
Rest: Allow your body to rest, especially if you feel fatigued.
Avoid Strenuous Activities: Refrain from heavy exercise or demanding physical tasks for a short period following treatment.
Would you like to proceed with booking an appointment or need any further details? 😊</t>
  </si>
  <si>
    <t>It seems I couldn't retrieve specific pricing information for sports therapy at the moment. The team will need to confirm the details.
Would you like me to assist you with anything else in the meantime? 😊</t>
  </si>
  <si>
    <t>The costs for sports therapy are as follows:
Sports therapy consultation: €20
Sports therapy session (20 mins): €30
Sports therapy session (45 mins): €65
Pain management session (30 mins): €50
If you have any more questions or need further assistance, feel free to ask! 😊</t>
  </si>
  <si>
    <t>V2.1: exact verified prices</t>
  </si>
  <si>
    <t>Consultation : €20 
Sports therapy session 20mins €30 / 45mins €65 
Pain Management session 30mins €50</t>
  </si>
  <si>
    <t>The sports therapy treatment is performed by Stephen Moghrabi, who specializes in sports therapy and pain management. 
If you'd like to know more or book an appointment, feel free to ask! 😊</t>
  </si>
  <si>
    <t>Stephen Moghrabi correctly named</t>
  </si>
  <si>
    <t>This treatment is performed by our qualified sports therapist, Stephen.</t>
  </si>
  <si>
    <t>It seems I couldn't retrieve specific details about the duration of the sports therapy treatment at the moment. The team will have to confirm this information.
If there's anything else you need or if you'd like assistance booking an appointment, please let me know! 😊</t>
  </si>
  <si>
    <t>I couldn't find specific information about the duration of the sports therapy treatment. However, I can check with the team to confirm the details. Would you like me to do that?</t>
  </si>
  <si>
    <t>Still defers on duration</t>
  </si>
  <si>
    <t>Here’s the treatment protocol for sports therapy:
Treatment: Sports Therapy
What it is: A professional treatment focused on preventing, assessing, and rehabilitating musculoskeletal injuries to improve athletic performance and overall physical health.
How it works: Sports therapy involves:
Assessment: Evaluating the client's injury or condition to identify underlying causes.
Treatment: Manual therapy, soft tissue manipulation, taping, and rehabilitation exercises to restore strength and flexibility.
Education: Guidance on proper technique, posture, and injury prevention strategies.
Recovery Time: Recovery varies depending on the injury, with sessions needing no downtime. Some adjustments in activity may be required.
Benefits:
Enhances performance and helps prevent injuries.
Recommended for: Athletes and active individuals looking to improve physical performance and recover from injuries.
You can find more information [here](https://niumee.com/treatments/sports-therapy/). 
If you'd like to proceed with booking an appointment or have more questions, just let me know! 😊</t>
  </si>
  <si>
    <t>Correct response</t>
  </si>
  <si>
    <t>In sports therapy, the frequency of repeat treatments varies based on the individual and the specific concerns being addressed. Generally, clients may return for treatment every few days or once a week, depending on their recovery needs and treatment plan.
If you're looking to book an appointment or need more specific guidance, just let me know! 😊</t>
  </si>
  <si>
    <t>The number of sessions required in sports therapy varies depending on the individual’s condition and treatment goals. Typically, initial assessments can lead to a recommended course of multiple sessions, often between 5 to 10, but this can be tailored based on each client's specific needs.
If you’d like to go ahead and book an appointment or have any further questions, just let me know! 😊</t>
  </si>
  <si>
    <t>In sports therapy, most clients feel some discomfort, but it should generally not be painful. The treatments aim to alleviate pain and enhance mobility, so any discomfort usually subsides shortly after the session.
If you have concerns about specific techniques or experiences, let me know, and I can provide more details! 😊</t>
  </si>
  <si>
    <t>In sports therapy, there isn't a strict minimum or maximum age limit, but generally, it is recommended for individuals aged 12 and older. Younger clients may require parental consent.
If you need more information or would like to book a session, just let me know! 😊</t>
  </si>
  <si>
    <t>Before your sports therapy appointment, it's recommended to wear comfortable clothing that allows easy access to the areas being treated. Also, ensure to discuss any medical history or injuries during your consultation.
If you have any more questions or would like to schedule an appointment with Stephen, just let me know! 😊</t>
  </si>
  <si>
    <t>Currently, we do not offer any standing packages for sports therapy. However, you might want to consider the option of booking a series of sessions, which can sometimes provide more structured benefits.
If you would like more information or wish to schedule an appointment with Stephen, please let me know! 😊</t>
  </si>
  <si>
    <t>Yes, we do offer packages for sports therapy:
Sports Therapy package: 10 sessions of 45 minutes for €500.
Pain Management package: 10 sessions of 30 minutes for €350.
If you have any more questions or need assistance with booking, just let me know! 😊</t>
  </si>
  <si>
    <t>V2.1: exact packages EUR500/EUR350</t>
  </si>
  <si>
    <t>Sports therapy x10 sessions of 45mins each €500
Pain Management x10 sessions of 30mins each €350</t>
  </si>
  <si>
    <t>For sports therapy appointments, if you cancel or do not show up within 24 hours of your scheduled time, your deposit will be charged as a cancellation/no-show fee. Cancellations made more than 24 hours in advance will not incur any fees.
If you have further questions or wish to book an appointment with Stephen, feel free to ask! 😊</t>
  </si>
  <si>
    <t>The exact deposit amount for sports therapy appointments will need to be confirmed by the team. I recommend reaching out to them for precise details.
If you have any other questions or wish to schedule an appointment with Stephen, just let me know! 😊</t>
  </si>
  <si>
    <t>No deposit is required for Sports Therapy. 
If you have any more questions or would like to schedule a consultation, feel free to ask! 😊</t>
  </si>
  <si>
    <t>For this treatment, we do not require a deposit when booking. However, as a matter of courtesy, we kindly ask that you inform us in advance, should you need to cancel or reschedule your appointment.</t>
  </si>
  <si>
    <t>Could you please clarify which specific service you're inquiring about? This will help me assist you better.
Thank you! 😊</t>
  </si>
  <si>
    <t>It seems I need to confirm the specific service you are referring to. Could you please clarify which service you're asking about?
I'm here to help! 😊</t>
  </si>
  <si>
    <t>Still asks to clarify; needs a computed podology referral note</t>
  </si>
  <si>
    <t>Our podiatrist will soon resume clinics at Niumee. In the meantime, you may call St. James Hospital on 2329 1000 to request an appointment with their podiatrists.</t>
  </si>
  <si>
    <t>Sclerotherapy is currently paused for the season at Niumee. While we're not offering this service right now, I can take your details so we can follow up with you once it resumes. Would you like to proceed with that? 😊</t>
  </si>
  <si>
    <t>Seasonal pause per coded Jul-Sep gate (confirm with Donna); approved says 'yes we offer, Dr Ian Said'</t>
  </si>
  <si>
    <t>Yes we do offer this service, It is done by our vascular surgeon Dr Ian said.</t>
  </si>
  <si>
    <t>Sclerotherapy is a non-surgical treatment designed to treat spider veins and small varicose veins. During the procedure, a solution is injected into the affected veins, causing them to close off and gradually fade over time. It typically helps improve the appearance of the legs and reduce any discomfort associated with these veins. As mentioned, this treatment is currently paused for the season. Would you like me to take your details so we can follow up once it resumes? 😊</t>
  </si>
  <si>
    <t>Sclerotherapy is a non-surgical treatment used mainly for spider veins and small varicose veins, usually on the legs.</t>
  </si>
  <si>
    <t>Sclerotherapy offers several benefits, including: 
Improved Appearance: It effectively reduces the visibility of spider veins and small varicose veins, enhancing the overall aesthetic of the legs. 
Reduced Discomfort: If your veins cause discomfort or pain, sclerotherapy can alleviate these symptoms. 
Quick Recovery: It's a minimally invasive procedure with minimal downtime, allowing you to return to daily activities quickly. 
Long-lasting Results: The treated veins typically fade over time, leading to a longer-lasting improvement in appearance. As mentioned, sclerotherapy is currently paused for the season. Would you like me to take your details to follow up once it resumes? 😊</t>
  </si>
  <si>
    <t>Sclerotherapy helps reduce the appearance of spider and small varicose veins. It may also relieve related symptoms such as aching, swelling, burning, or discomfort.</t>
  </si>
  <si>
    <t>Sclerotherapy may have some side effects and contraindications, which include: 
Common Side Effects: Bruising at the injection site, swelling, redness.
Less Common Side Effects: Itching or hives, allergic reactions, inflammation of the treated vein.
Contraindications: Pregnancy or breastfeeding, certain medical conditions like blood clotting disorders, active infections or skin conditions in the area being treated.
It's essential to consult with a doctor for a full evaluation before proceeding with the treatment. As a reminder, sclerotherapy is currently paused for the season. Would you like to leave your details so we can follow up once it resumes? 😊</t>
  </si>
  <si>
    <t>Common temporary side effects may include redness, bruising, swelling, tenderness, itching, skin discolouration, or small firm areas around the treated veins. Rare complications can include allergic reactions, skin ulcers, inflammation, infection, or blood clots.
Sclerotherapy may not be suitable during pregnancy, for patients with an allergy to the treatment solution, an active infection, or certain blood-clotting or circulation conditions. A consultation with the vein specialist is required to assess your medical history and confirm whether the treatment is safe for you.</t>
  </si>
  <si>
    <t>After sclerotherapy, it is generally recommended to avoid sun exposure for at least 24 to 48 hours. This helps protect the treated area and reduces the risk of complications, such as pigmentation changes. It's always best to consult with your doctor for personalized advice tailored to your situation. As a reminder, sclerotherapy is currently paused for the season. Would you like to leave your details for us to follow up once it resumes? 😊</t>
  </si>
  <si>
    <t>Currently, our sclerotherapy treatment is paused for the season, so I can't provide specific aftercare details for it right now.
Once the treatment resumes, I recommend avoiding sun exposure for at least 24 to 48 hours afterward. Would you like me to take your details for follow-up when sclerotherapy is available again? 😊</t>
  </si>
  <si>
    <t>Still 24-48h; approved is at least TWO WEEKS + SPF30</t>
  </si>
  <si>
    <t>Direct sun exposure, sunbathing, and sunbeds should be avoided on the treated area for at least two weeks, as UV exposure may increase the risk of dark pigmentation. Keep the area covered and use SPF 30 or higher when exposure cannot be avoided.</t>
  </si>
  <si>
    <t>Before and after sclerotherapy, here are some important precautions to consider:
Before Treatment:
Avoid blood thinners (like aspirin) for a few days to minimize bruising.
Discuss any medications or medical conditions with your doctor.
Wear loose-fitting clothing to the appointment.
After Treatment:
Avoid vigorous exercise for 24 hours.
Limit sun exposure for at least 24 to 48 hours.
Follow any specific aftercare instructions provided by your doctor.
It's essential to consult with your doctor for personalized advice tailored to your situation. As a reminder, sclerotherapy is currently paused for the season. Would you like to leave your details so we can follow up once it resumes? 😊</t>
  </si>
  <si>
    <t>Missing compression stockings guidance</t>
  </si>
  <si>
    <t>Before treatment, inform the specialist about any medication, allergies, medical conditions, pregnancy, or history of blood clots. Do not stop any medication unless advised. After treatment, wear compression stockings as instructed, walk regularly, and avoid strenuous exercise, hot baths, saunas, and direct sun exposure for the recommended period.</t>
  </si>
  <si>
    <t>It seems I couldn't retrieve the exact pricing information for sclerotherapy at the moment. The team will confirm the details for you. As a reminder, sclerotherapy is currently paused for the season. Would you like to leave your details so we can follow up once it resumes? 😊</t>
  </si>
  <si>
    <t>Currently, our sclerotherapy treatment is paused for the season, so I can't confirm specific pricing details at this time.
However, when available, the cost for a vein consultation with Dr. Ian Said is €80, and the sclerotherapy treatment itself is €335. A consultation is always required first.
Would you like to provide your details for follow-up when we resume sclerotherapy? 😊</t>
  </si>
  <si>
    <t>V2.1: EUR80 consultation / EUR335 treatment</t>
  </si>
  <si>
    <t>A consultation with our vein specialist, Dr Ian Said, costs €80, while sclerotherapy treatment costs €335. A consultation is required beforehand to assess your veins and confirm the most suitable treatment.</t>
  </si>
  <si>
    <t>The treatment of sclerotherapy is performed by Dr Ian Said, a qualified vascular surgeon. As a reminder, sclerotherapy is currently paused for the season. Would you like to leave your details so we can follow up once it resumes? 😊</t>
  </si>
  <si>
    <t>Dr Ian Said correctly credited</t>
  </si>
  <si>
    <t>Sclerotherapy is performed by Dr Ian Said, our vein specialist.</t>
  </si>
  <si>
    <t>The treatment of sclerotherapy typically takes about 15 to 30 minutes, depending on the number of veins being treated. If you're interested in scheduling or want more details, please let me know! 😊</t>
  </si>
  <si>
    <t>15-30 min vs approved 30-45 min</t>
  </si>
  <si>
    <t>The treatment usually takes approximately 30–45 minutes, depending on the number and size of the veins being treated. Your specialist will confirm the expected duration during your consultation.</t>
  </si>
  <si>
    <t>The treatment protocol for sclerotherapy typically involves the following steps:
Consultation: Before treatment, a consultation with Dr Ian Said is necessary to assess your specific needs.
Preparation: You may need to avoid certain medications before the treatment. Wear loose-fitting clothing to the appointment.
The Procedure: A sclerosing solution is injected into the affected veins, causing them to collapse.
Post-Treatment Care: Compression stockings may be recommended, and you should avoid vigorous exercise and limit sun exposure for 24 to 48 hours afterward.
Would you like to schedule a consultation, or do you have any other questions? 😊</t>
  </si>
  <si>
    <t>The process begins with a consultation with Dr Ian Said, who will assess your veins and confirm your suitability. During treatment, a specialised solution is injected into the targeted veins, causing them to close and gradually fade. Compression stockings may be required afterwards, and walking is encouraged. More than one session may be recommended, depending on the number and size of the veins.</t>
  </si>
  <si>
    <t>The treatment of sclerotherapy can be repeated after 4 to 6 weeks, depending on your individual response to the treatment and the recommendation from Dr Ian Said. Don't hesitate to ask if you have more questions or if you'd like to schedule a consultation! 😊</t>
  </si>
  <si>
    <t>Sclerotherapy is generally repeated after approximately 4–6 weeks, allowing time to assess the results and healing. The exact interval and number of sessions required will be determined by Dr Ian Said based on your individual treatment plan</t>
  </si>
  <si>
    <t>The number of sessions required for sclerotherapy varies based on individual needs and the extent of the veins being treated. Typically, clients may need 1 to 3 sessions for optimal results, spaced about 4 to 6 weeks apart. If you have more specific concerns or would like to schedule a consultation, please let me know! 😊</t>
  </si>
  <si>
    <t>Most patients require approximately 2–3 sessions, although this may vary depending on the number, size, and severity of the veins. Dr Ian Said will assess your condition and recommend a personalised treatment plan during your consultation.</t>
  </si>
  <si>
    <t>Sclerotherapy is generally well-tolerated, but discomfort can vary from person to person. Most clients describe the sensation as minor discomfort or a mild burning feeling during the injection. Any pain is typically brief and can be managed easily. If you have other questions or would like to schedule a consultation with Dr Ian Said, let me know! 😊</t>
  </si>
  <si>
    <t>Most patients experience only mild discomfort, such as a small needle prick, stinging, or a brief burning sensation during the injections. Any discomfort is usually temporary and well tolerated.</t>
  </si>
  <si>
    <t>There is no strictly defined minimum or maximum age for sclerotherapy, but it is generally recommended for adults. In younger individuals, a consultation will be necessary to assess the suitability for treatment. If you have more questions or would like to arrange a consultation with Dr Ian Said, feel free to reach out! 😊</t>
  </si>
  <si>
    <t>There is no strict maximum age for sclerotherapy. The treatment is generally intended for adults, and suitability depends more on the patient’s overall health, circulation, mobility, and medical history than age alone.</t>
  </si>
  <si>
    <t>Before your sclerotherapy appointment, it is advisable to:
Avoid certain medications that might increase bleeding (like aspirin or non-steroidal anti-inflammatory drugs), as well as any blood thinners.
Wear loose-fitting clothing to the appointment.
If you need further information or wish to schedule a consultation with Dr Ian Said, please let me know! 😊</t>
  </si>
  <si>
    <t>Please bring a list of your current medications and inform Dr Ian Said of any allergies, medical conditions, pregnancy, previous blood clots, or circulation problems. Avoid applying creams or oils to the treatment area on the day, and wear loose, comfortable clothing. Do not stop any medication unless specifically advised by the doctor.</t>
  </si>
  <si>
    <t>At the moment, we do not have any packages for sclerotherapy. Each treatment is typically arranged on an individual basis. If you have any more questions or would like to schedule a consultation with Dr Ian Said, please let me know! 😊</t>
  </si>
  <si>
    <t>We do not currently offer packages for sclerotherapy. The number of sessions required varies for each patient and will be discussed with Dr Ian Said during your consultation.</t>
  </si>
  <si>
    <t>For sclerotherapy appointments, there is no cancellation fee and no no-show fee, regardless of the notice given. If you have any more questions or need to arrange an appointment with Dr Ian Said, feel free to ask! 😊</t>
  </si>
  <si>
    <t>Currently, our sclerotherapy treatment is paused for the season, so I can't provide specific details about the cancellation policy for it right now.
However, typically, for other services, our policy states that if a client cancels or does not show up within 24 hours of their scheduled appointment time, their deposit is charged as a cancellation/no-show fee.
Would you like me to take your details so we can follow up with you when sclerotherapy is available again? 😊</t>
  </si>
  <si>
    <t>Hedged deposit-fee wording vs approved simple 24h notice</t>
  </si>
  <si>
    <t>If you need to cancel or reschedule your appointment, please let us know at least 24 hours in advance.</t>
  </si>
  <si>
    <t>The exact deposit amount for your sclerotherapy appointment will need to be confirmed by the team. If you have any other questions or would like to schedule an appointment with Dr Ian Said, just let me know! 😊</t>
  </si>
  <si>
    <t>For sclerotherapy, no deposit is required. However, we kindly ask for at least 24 hours' notice to cancel or reschedule your appointment.
Since the treatment is paused for the season, would you like me to take your details for follow-up when it's available again? 😊</t>
  </si>
  <si>
    <t>V2.1: no deposit + 24h courtesy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</si>
</sst>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0"/>
      <color rgb="FFFFFFFF"/>
      <name val="Arial"/>
    </font>
    <font>
      <sz val="10"/>
      <name val="Arial"/>
    </font>
    <font>
      <b/>
      <sz val="10"/>
      <color rgb="FF9C6500"/>
      <name val="Arial"/>
    </font>
    <font>
      <b/>
      <sz val="10"/>
      <color rgb="FF006100"/>
      <name val="Arial"/>
    </font>
    <font>
      <b/>
      <sz val="10"/>
      <color rgb="FF9C0006"/>
      <name val="Arial"/>
    </font>
    <font>
      <sz val="10"/>
      <color rgb="FF9C0006"/>
      <name val="Arial"/>
    </font>
    <font>
      <b/>
      <sz val="14"/>
      <name val="Arial"/>
    </font>
    <font>
      <i/>
      <sz val="9"/>
      <name val="Arial"/>
    </font>
    <font>
      <b/>
      <sz val="10"/>
      <name val="Arial"/>
    </font>
    <font>
      <b/>
      <sz val="11"/>
      <name val="Arial"/>
    </font>
    <font>
      <b/>
      <sz val="12"/>
      <name val="Arial"/>
    </font>
  </fonts>
  <fills count="7">
    <fill>
      <patternFill patternType="none"/>
    </fill>
    <fill>
      <patternFill patternType="gray125"/>
    </fill>
    <fill>
      <patternFill patternType="solid">
        <fgColor rgb="FF1F3864"/>
      </patternFill>
    </fill>
    <fill>
      <patternFill patternType="solid">
        <fgColor rgb="FFFFEB9C"/>
      </patternFill>
    </fill>
    <fill>
      <patternFill patternType="solid">
        <fgColor rgb="FFC6EFCE"/>
      </patternFill>
    </fill>
    <fill>
      <patternFill patternType="solid">
        <fgColor rgb="FFFFC7CE"/>
      </patternFill>
    </fill>
    <fill>
      <patternFill patternType="solid">
        <fgColor rgb="FFDDEB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7" fillId="0" borderId="0" xfId="0" applyFont="1"/>
    <xf numFmtId="0" fontId="1" fillId="2" borderId="0" xfId="0" applyFont="1" applyFill="1" applyAlignment="1">
      <alignment vertical="top" wrapText="1"/>
    </xf>
    <xf numFmtId="0" fontId="2" fillId="0" borderId="0" xfId="0" applyFont="1"/>
    <xf numFmtId="164" fontId="2" fillId="0" borderId="0" xfId="0" applyNumberFormat="1" applyFont="1"/>
    <xf numFmtId="164" fontId="9" fillId="0" borderId="0" xfId="0" applyNumberFormat="1" applyFont="1"/>
    <xf numFmtId="0" fontId="10" fillId="0" borderId="0" xfId="0" applyFont="1"/>
    <xf numFmtId="164" fontId="10" fillId="6" borderId="0" xfId="0" applyNumberFormat="1" applyFont="1" applyFill="1"/>
    <xf numFmtId="164" fontId="11" fillId="6" borderId="0" xfId="0" applyNumberFormat="1" applyFont="1" applyFill="1"/>
    <xf numFmtId="0" fontId="2" fillId="0" borderId="1" xfId="0" applyFont="1" applyBorder="1" applyAlignment="1">
      <alignment vertical="top" wrapText="1"/>
    </xf>
    <xf numFmtId="0" fontId="3" fillId="3" borderId="1" xfId="0" applyFont="1" applyFill="1" applyBorder="1" applyAlignment="1">
      <alignment horizontal="center" vertical="top"/>
    </xf>
    <xf numFmtId="0" fontId="4" fillId="4" borderId="1" xfId="0" applyFont="1" applyFill="1" applyBorder="1" applyAlignment="1">
      <alignment horizontal="center" vertical="top"/>
    </xf>
    <xf numFmtId="0" fontId="5" fillId="5" borderId="1" xfId="0" applyFont="1" applyFill="1" applyBorder="1" applyAlignment="1">
      <alignment horizontal="center" vertical="top"/>
    </xf>
    <xf numFmtId="0" fontId="6" fillId="0" borderId="1" xfId="0" applyFont="1" applyBorder="1" applyAlignment="1">
      <alignment vertical="top" wrapText="1"/>
    </xf>
    <xf numFmtId="0" fontId="8"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tabSelected="1" workbookViewId="0"/>
  </sheetViews>
  <sheetFormatPr defaultRowHeight="14.4" x14ac:dyDescent="0.3"/>
  <cols>
    <col min="1" max="1" width="26" customWidth="1"/>
    <col min="2" max="2" width="11" customWidth="1"/>
    <col min="3" max="3" width="8" customWidth="1"/>
    <col min="4" max="4" width="9" customWidth="1"/>
    <col min="5" max="5" width="8" customWidth="1"/>
    <col min="6" max="7" width="16" customWidth="1"/>
    <col min="8" max="8" width="14" customWidth="1"/>
  </cols>
  <sheetData>
    <row r="1" spans="1:8" ht="17.399999999999999" x14ac:dyDescent="0.3">
      <c r="A1" s="1" t="s">
        <v>0</v>
      </c>
    </row>
    <row r="2" spans="1:8" x14ac:dyDescent="0.3">
      <c r="A2" s="14" t="s">
        <v>1</v>
      </c>
      <c r="B2" s="15"/>
      <c r="C2" s="15"/>
      <c r="D2" s="15"/>
      <c r="E2" s="15"/>
      <c r="F2" s="15"/>
      <c r="G2" s="15"/>
      <c r="H2" s="15"/>
    </row>
    <row r="3" spans="1:8" x14ac:dyDescent="0.3">
      <c r="A3" s="15"/>
      <c r="B3" s="15"/>
      <c r="C3" s="15"/>
      <c r="D3" s="15"/>
      <c r="E3" s="15"/>
      <c r="F3" s="15"/>
      <c r="G3" s="15"/>
      <c r="H3" s="15"/>
    </row>
    <row r="5" spans="1:8" ht="26.4" x14ac:dyDescent="0.3">
      <c r="A5" s="2" t="s">
        <v>2</v>
      </c>
      <c r="B5" s="2" t="s">
        <v>3</v>
      </c>
      <c r="C5" s="2" t="s">
        <v>4</v>
      </c>
      <c r="D5" s="2" t="s">
        <v>5</v>
      </c>
      <c r="E5" s="2" t="s">
        <v>6</v>
      </c>
      <c r="F5" s="2" t="s">
        <v>7</v>
      </c>
      <c r="G5" s="2" t="s">
        <v>8</v>
      </c>
      <c r="H5" s="2" t="s">
        <v>9</v>
      </c>
    </row>
    <row r="6" spans="1:8" x14ac:dyDescent="0.3">
      <c r="A6" s="3" t="s">
        <v>10</v>
      </c>
      <c r="B6" s="3">
        <f>COUNTA('LASER HAIR REMOVAL'!B2:B200)</f>
        <v>19</v>
      </c>
      <c r="C6" s="3">
        <f>COUNTIF('LASER HAIR REMOVAL'!G2:G200,"PASS")</f>
        <v>15</v>
      </c>
      <c r="D6" s="3">
        <f>COUNTIF('LASER HAIR REMOVAL'!G2:G200,"PARTIAL")</f>
        <v>4</v>
      </c>
      <c r="E6" s="3">
        <f>COUNTIF('LASER HAIR REMOVAL'!G2:G200,"FAIL")</f>
        <v>0</v>
      </c>
      <c r="F6" s="4">
        <f>(COUNTIF('LASER HAIR REMOVAL'!E2:E200,"PASS")+0.5*COUNTIF('LASER HAIR REMOVAL'!E2:E200,"PARTIAL"))/B6</f>
        <v>0.78947368421052633</v>
      </c>
      <c r="G6" s="5">
        <f t="shared" ref="G6:G16" si="0">(C6+0.5*D6)/B6</f>
        <v>0.89473684210526316</v>
      </c>
      <c r="H6" s="4">
        <f>1-COUNTIF('LASER HAIR REMOVAL'!C2:C200,"Bad")/B6</f>
        <v>0.94736842105263164</v>
      </c>
    </row>
    <row r="7" spans="1:8" x14ac:dyDescent="0.3">
      <c r="A7" s="3" t="s">
        <v>11</v>
      </c>
      <c r="B7" s="3">
        <f>COUNTA('SEMI-PERMANENT MAKEUP'!B2:B200)</f>
        <v>18</v>
      </c>
      <c r="C7" s="3">
        <f>COUNTIF('SEMI-PERMANENT MAKEUP'!G2:G200,"PASS")</f>
        <v>17</v>
      </c>
      <c r="D7" s="3">
        <f>COUNTIF('SEMI-PERMANENT MAKEUP'!G2:G200,"PARTIAL")</f>
        <v>1</v>
      </c>
      <c r="E7" s="3">
        <f>COUNTIF('SEMI-PERMANENT MAKEUP'!G2:G200,"FAIL")</f>
        <v>0</v>
      </c>
      <c r="F7" s="4">
        <f>(COUNTIF('SEMI-PERMANENT MAKEUP'!E2:E200,"PASS")+0.5*COUNTIF('SEMI-PERMANENT MAKEUP'!E2:E200,"PARTIAL"))/B7</f>
        <v>0.80555555555555558</v>
      </c>
      <c r="G7" s="5">
        <f t="shared" si="0"/>
        <v>0.97222222222222221</v>
      </c>
      <c r="H7" s="4">
        <f>1-COUNTIF('SEMI-PERMANENT MAKEUP'!C2:C200,"Bad")/B7</f>
        <v>1</v>
      </c>
    </row>
    <row r="8" spans="1:8" x14ac:dyDescent="0.3">
      <c r="A8" s="3" t="s">
        <v>12</v>
      </c>
      <c r="B8" s="3">
        <f>COUNTA(FACIALS!B2:B200)</f>
        <v>18</v>
      </c>
      <c r="C8" s="3">
        <f>COUNTIF(FACIALS!G2:G200,"PASS")</f>
        <v>4</v>
      </c>
      <c r="D8" s="3">
        <f>COUNTIF(FACIALS!G2:G200,"PARTIAL")</f>
        <v>2</v>
      </c>
      <c r="E8" s="3">
        <f>COUNTIF(FACIALS!G2:G200,"FAIL")</f>
        <v>12</v>
      </c>
      <c r="F8" s="4">
        <f>(COUNTIF(FACIALS!E2:E200,"PASS")+0.5*COUNTIF(FACIALS!E2:E200,"PARTIAL"))/B8</f>
        <v>0.22222222222222221</v>
      </c>
      <c r="G8" s="5">
        <f t="shared" si="0"/>
        <v>0.27777777777777779</v>
      </c>
      <c r="H8" s="4">
        <f>1-COUNTIF(FACIALS!C2:C200,"Bad")/B8</f>
        <v>1</v>
      </c>
    </row>
    <row r="9" spans="1:8" x14ac:dyDescent="0.3">
      <c r="A9" s="3" t="s">
        <v>13</v>
      </c>
      <c r="B9" s="3">
        <f>COUNTA(NAILS!B2:B200)</f>
        <v>15</v>
      </c>
      <c r="C9" s="3">
        <f>COUNTIF(NAILS!G2:G200,"PASS")</f>
        <v>10</v>
      </c>
      <c r="D9" s="3">
        <f>COUNTIF(NAILS!G2:G200,"PARTIAL")</f>
        <v>4</v>
      </c>
      <c r="E9" s="3">
        <f>COUNTIF(NAILS!G2:G200,"FAIL")</f>
        <v>1</v>
      </c>
      <c r="F9" s="4">
        <f>(COUNTIF(NAILS!E2:E200,"PASS")+0.5*COUNTIF(NAILS!E2:E200,"PARTIAL"))/B9</f>
        <v>0.53333333333333333</v>
      </c>
      <c r="G9" s="5">
        <f t="shared" si="0"/>
        <v>0.8</v>
      </c>
      <c r="H9" s="4">
        <f>1-COUNTIF(NAILS!C2:C200,"Bad")/B9</f>
        <v>1</v>
      </c>
    </row>
    <row r="10" spans="1:8" x14ac:dyDescent="0.3">
      <c r="A10" s="3" t="s">
        <v>14</v>
      </c>
      <c r="B10" s="3">
        <f>COUNTA('BOTOX &amp; FILLERS'!B2:B200)</f>
        <v>17</v>
      </c>
      <c r="C10" s="3">
        <f>COUNTIF('BOTOX &amp; FILLERS'!G2:G200,"PASS")</f>
        <v>16</v>
      </c>
      <c r="D10" s="3">
        <f>COUNTIF('BOTOX &amp; FILLERS'!G2:G200,"PARTIAL")</f>
        <v>1</v>
      </c>
      <c r="E10" s="3">
        <f>COUNTIF('BOTOX &amp; FILLERS'!G2:G200,"FAIL")</f>
        <v>0</v>
      </c>
      <c r="F10" s="4">
        <f>(COUNTIF('BOTOX &amp; FILLERS'!E2:E200,"PASS")+0.5*COUNTIF('BOTOX &amp; FILLERS'!E2:E200,"PARTIAL"))/B10</f>
        <v>0.8529411764705882</v>
      </c>
      <c r="G10" s="5">
        <f t="shared" si="0"/>
        <v>0.97058823529411764</v>
      </c>
      <c r="H10" s="4">
        <f>1-COUNTIF('BOTOX &amp; FILLERS'!C2:C200,"Bad")/B10</f>
        <v>0.58823529411764708</v>
      </c>
    </row>
    <row r="11" spans="1:8" x14ac:dyDescent="0.3">
      <c r="A11" s="3" t="s">
        <v>15</v>
      </c>
      <c r="B11" s="3">
        <f>COUNTA('SKIN BOOSTERS'!B2:B200)</f>
        <v>17</v>
      </c>
      <c r="C11" s="3">
        <f>COUNTIF('SKIN BOOSTERS'!G2:G200,"PASS")</f>
        <v>14</v>
      </c>
      <c r="D11" s="3">
        <f>COUNTIF('SKIN BOOSTERS'!G2:G200,"PARTIAL")</f>
        <v>3</v>
      </c>
      <c r="E11" s="3">
        <f>COUNTIF('SKIN BOOSTERS'!G2:G200,"FAIL")</f>
        <v>0</v>
      </c>
      <c r="F11" s="4">
        <f>(COUNTIF('SKIN BOOSTERS'!E2:E200,"PASS")+0.5*COUNTIF('SKIN BOOSTERS'!E2:E200,"PARTIAL"))/B11</f>
        <v>8.8235294117647065E-2</v>
      </c>
      <c r="G11" s="5">
        <f t="shared" si="0"/>
        <v>0.91176470588235292</v>
      </c>
      <c r="H11" s="4">
        <f>1-COUNTIF('SKIN BOOSTERS'!C2:C200,"Bad")/B11</f>
        <v>0.70588235294117641</v>
      </c>
    </row>
    <row r="12" spans="1:8" x14ac:dyDescent="0.3">
      <c r="A12" s="3" t="s">
        <v>16</v>
      </c>
      <c r="B12" s="3">
        <f>COUNTA(GYNAE!B2:B200)</f>
        <v>11</v>
      </c>
      <c r="C12" s="3">
        <f>COUNTIF(GYNAE!G2:G200,"PASS")</f>
        <v>4</v>
      </c>
      <c r="D12" s="3">
        <f>COUNTIF(GYNAE!G2:G200,"PARTIAL")</f>
        <v>7</v>
      </c>
      <c r="E12" s="3">
        <f>COUNTIF(GYNAE!G2:G200,"FAIL")</f>
        <v>0</v>
      </c>
      <c r="F12" s="4">
        <f>(COUNTIF(GYNAE!E2:E200,"PASS")+0.5*COUNTIF(GYNAE!E2:E200,"PARTIAL"))/B12</f>
        <v>0.54545454545454541</v>
      </c>
      <c r="G12" s="5">
        <f t="shared" si="0"/>
        <v>0.68181818181818177</v>
      </c>
      <c r="H12" s="4">
        <f>1-COUNTIF(GYNAE!C2:C200,"Bad")/B12</f>
        <v>0.63636363636363635</v>
      </c>
    </row>
    <row r="13" spans="1:8" x14ac:dyDescent="0.3">
      <c r="A13" s="3" t="s">
        <v>17</v>
      </c>
      <c r="B13" s="3">
        <f>COUNTA('Sports Therapy'!B2:B200)</f>
        <v>17</v>
      </c>
      <c r="C13" s="3">
        <f>COUNTIF('Sports Therapy'!G2:G200,"PASS")</f>
        <v>15</v>
      </c>
      <c r="D13" s="3">
        <f>COUNTIF('Sports Therapy'!G2:G200,"PARTIAL")</f>
        <v>0</v>
      </c>
      <c r="E13" s="3">
        <f>COUNTIF('Sports Therapy'!G2:G200,"FAIL")</f>
        <v>2</v>
      </c>
      <c r="F13" s="4">
        <f>(COUNTIF('Sports Therapy'!E2:E200,"PASS")+0.5*COUNTIF('Sports Therapy'!E2:E200,"PARTIAL"))/B13</f>
        <v>0.73529411764705888</v>
      </c>
      <c r="G13" s="5">
        <f t="shared" si="0"/>
        <v>0.88235294117647056</v>
      </c>
      <c r="H13" s="4">
        <f>1-COUNTIF('Sports Therapy'!C2:C200,"Bad")/B13</f>
        <v>0.64705882352941169</v>
      </c>
    </row>
    <row r="14" spans="1:8" x14ac:dyDescent="0.3">
      <c r="A14" s="3" t="s">
        <v>18</v>
      </c>
      <c r="B14" s="3">
        <f>COUNTA(PODOLOGY!B2:B200)</f>
        <v>1</v>
      </c>
      <c r="C14" s="3">
        <f>COUNTIF(PODOLOGY!G2:G200,"PASS")</f>
        <v>0</v>
      </c>
      <c r="D14" s="3">
        <f>COUNTIF(PODOLOGY!G2:G200,"PARTIAL")</f>
        <v>0</v>
      </c>
      <c r="E14" s="3">
        <f>COUNTIF(PODOLOGY!G2:G200,"FAIL")</f>
        <v>1</v>
      </c>
      <c r="F14" s="4">
        <f>(COUNTIF(PODOLOGY!E2:E200,"PASS")+0.5*COUNTIF(PODOLOGY!E2:E200,"PARTIAL"))/B14</f>
        <v>0</v>
      </c>
      <c r="G14" s="5">
        <f t="shared" si="0"/>
        <v>0</v>
      </c>
      <c r="H14" s="4">
        <f>1-COUNTIF(PODOLOGY!C2:C200,"Bad")/B14</f>
        <v>0</v>
      </c>
    </row>
    <row r="15" spans="1:8" x14ac:dyDescent="0.3">
      <c r="A15" s="3" t="s">
        <v>19</v>
      </c>
      <c r="B15" s="3">
        <f>COUNTA(SCLEROTHERAPY!B2:B200)</f>
        <v>18</v>
      </c>
      <c r="C15" s="3">
        <f>COUNTIF(SCLEROTHERAPY!G2:G200,"PASS")</f>
        <v>13</v>
      </c>
      <c r="D15" s="3">
        <f>COUNTIF(SCLEROTHERAPY!G2:G200,"PARTIAL")</f>
        <v>4</v>
      </c>
      <c r="E15" s="3">
        <f>COUNTIF(SCLEROTHERAPY!G2:G200,"FAIL")</f>
        <v>1</v>
      </c>
      <c r="F15" s="4">
        <f>(COUNTIF(SCLEROTHERAPY!E2:E200,"PASS")+0.5*COUNTIF(SCLEROTHERAPY!E2:E200,"PARTIAL"))/B15</f>
        <v>0.69444444444444442</v>
      </c>
      <c r="G15" s="5">
        <f t="shared" si="0"/>
        <v>0.83333333333333337</v>
      </c>
      <c r="H15" s="4">
        <f>1-COUNTIF(SCLEROTHERAPY!C2:C200,"Bad")/B15</f>
        <v>0.94444444444444442</v>
      </c>
    </row>
    <row r="16" spans="1:8" ht="15.6" x14ac:dyDescent="0.3">
      <c r="A16" s="6" t="s">
        <v>20</v>
      </c>
      <c r="B16" s="6">
        <f>SUM(B6:B15)</f>
        <v>151</v>
      </c>
      <c r="C16" s="6">
        <f>SUM(C6:C15)</f>
        <v>108</v>
      </c>
      <c r="D16" s="6">
        <f>SUM(D6:D15)</f>
        <v>26</v>
      </c>
      <c r="E16" s="6">
        <f>SUM(E6:E15)</f>
        <v>17</v>
      </c>
      <c r="F16" s="7">
        <f>SUMPRODUCT(F6:F15,B6:B15)/B16</f>
        <v>0.58609271523178808</v>
      </c>
      <c r="G16" s="8">
        <f t="shared" si="0"/>
        <v>0.80132450331125826</v>
      </c>
      <c r="H16" s="7">
        <f>SUMPRODUCT(H6:H15,B6:B15)/B16</f>
        <v>0.83443708609271527</v>
      </c>
    </row>
    <row r="18" spans="1:8" x14ac:dyDescent="0.3">
      <c r="A18" s="14" t="s">
        <v>21</v>
      </c>
      <c r="B18" s="15"/>
      <c r="C18" s="15"/>
      <c r="D18" s="15"/>
      <c r="E18" s="15"/>
      <c r="F18" s="15"/>
      <c r="G18" s="15"/>
      <c r="H18" s="15"/>
    </row>
    <row r="19" spans="1:8" x14ac:dyDescent="0.3">
      <c r="A19" s="15"/>
      <c r="B19" s="15"/>
      <c r="C19" s="15"/>
      <c r="D19" s="15"/>
      <c r="E19" s="15"/>
      <c r="F19" s="15"/>
      <c r="G19" s="15"/>
      <c r="H19" s="15"/>
    </row>
    <row r="20" spans="1:8" x14ac:dyDescent="0.3">
      <c r="A20" s="15"/>
      <c r="B20" s="15"/>
      <c r="C20" s="15"/>
      <c r="D20" s="15"/>
      <c r="E20" s="15"/>
      <c r="F20" s="15"/>
      <c r="G20" s="15"/>
      <c r="H20" s="15"/>
    </row>
  </sheetData>
  <mergeCells count="2">
    <mergeCell ref="A18:H20"/>
    <mergeCell ref="A2:H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316.8" x14ac:dyDescent="0.3">
      <c r="A2" s="9">
        <v>1</v>
      </c>
      <c r="B2" s="9" t="s">
        <v>31</v>
      </c>
      <c r="C2" s="9" t="s">
        <v>32</v>
      </c>
      <c r="D2" s="9" t="s">
        <v>33</v>
      </c>
      <c r="E2" s="10" t="s">
        <v>34</v>
      </c>
      <c r="F2" s="9"/>
      <c r="G2" s="10" t="s">
        <v>34</v>
      </c>
      <c r="H2" s="9" t="s">
        <v>35</v>
      </c>
      <c r="I2" s="9" t="s">
        <v>36</v>
      </c>
    </row>
    <row r="3" spans="1:9" ht="369.6" x14ac:dyDescent="0.3">
      <c r="A3" s="9">
        <v>2</v>
      </c>
      <c r="B3" s="9" t="s">
        <v>37</v>
      </c>
      <c r="C3" s="9" t="s">
        <v>32</v>
      </c>
      <c r="D3" s="9" t="s">
        <v>38</v>
      </c>
      <c r="E3" s="11" t="s">
        <v>39</v>
      </c>
      <c r="F3" s="9"/>
      <c r="G3" s="11" t="s">
        <v>39</v>
      </c>
      <c r="H3" s="9"/>
      <c r="I3" s="9" t="s">
        <v>40</v>
      </c>
    </row>
    <row r="4" spans="1:9" ht="237.6" x14ac:dyDescent="0.3">
      <c r="A4" s="9">
        <v>3</v>
      </c>
      <c r="B4" s="9" t="s">
        <v>41</v>
      </c>
      <c r="C4" s="9" t="s">
        <v>32</v>
      </c>
      <c r="D4" s="9" t="s">
        <v>42</v>
      </c>
      <c r="E4" s="11" t="s">
        <v>39</v>
      </c>
      <c r="F4" s="9"/>
      <c r="G4" s="11" t="s">
        <v>39</v>
      </c>
      <c r="H4" s="9"/>
      <c r="I4" s="9" t="s">
        <v>43</v>
      </c>
    </row>
    <row r="5" spans="1:9" ht="290.39999999999998" x14ac:dyDescent="0.3">
      <c r="A5" s="9">
        <v>4</v>
      </c>
      <c r="B5" s="9" t="s">
        <v>44</v>
      </c>
      <c r="C5" s="9" t="s">
        <v>32</v>
      </c>
      <c r="D5" s="9" t="s">
        <v>45</v>
      </c>
      <c r="E5" s="11" t="s">
        <v>39</v>
      </c>
      <c r="F5" s="9"/>
      <c r="G5" s="11" t="s">
        <v>39</v>
      </c>
      <c r="H5" s="9"/>
      <c r="I5" s="9" t="s">
        <v>46</v>
      </c>
    </row>
    <row r="6" spans="1:9" ht="118.8" x14ac:dyDescent="0.3">
      <c r="A6" s="9">
        <v>5</v>
      </c>
      <c r="B6" s="9" t="s">
        <v>47</v>
      </c>
      <c r="C6" s="9" t="s">
        <v>32</v>
      </c>
      <c r="D6" s="9" t="s">
        <v>48</v>
      </c>
      <c r="E6" s="11" t="s">
        <v>39</v>
      </c>
      <c r="F6" s="9"/>
      <c r="G6" s="11" t="s">
        <v>39</v>
      </c>
      <c r="H6" s="9"/>
      <c r="I6" s="9" t="s">
        <v>46</v>
      </c>
    </row>
    <row r="7" spans="1:9" ht="343.2" x14ac:dyDescent="0.3">
      <c r="A7" s="9">
        <v>6</v>
      </c>
      <c r="B7" s="9" t="s">
        <v>49</v>
      </c>
      <c r="C7" s="9" t="s">
        <v>32</v>
      </c>
      <c r="D7" s="9" t="s">
        <v>50</v>
      </c>
      <c r="E7" s="11" t="s">
        <v>39</v>
      </c>
      <c r="F7" s="9"/>
      <c r="G7" s="11" t="s">
        <v>39</v>
      </c>
      <c r="H7" s="9"/>
      <c r="I7" s="9" t="s">
        <v>46</v>
      </c>
    </row>
    <row r="8" spans="1:9" ht="145.19999999999999" x14ac:dyDescent="0.3">
      <c r="A8" s="9">
        <v>7</v>
      </c>
      <c r="B8" s="9" t="s">
        <v>51</v>
      </c>
      <c r="C8" s="9" t="s">
        <v>32</v>
      </c>
      <c r="D8" s="9" t="s">
        <v>52</v>
      </c>
      <c r="E8" s="10" t="s">
        <v>34</v>
      </c>
      <c r="F8" s="9"/>
      <c r="G8" s="10" t="s">
        <v>34</v>
      </c>
      <c r="H8" s="9" t="s">
        <v>53</v>
      </c>
      <c r="I8" s="9" t="s">
        <v>54</v>
      </c>
    </row>
    <row r="9" spans="1:9" ht="132" x14ac:dyDescent="0.3">
      <c r="A9" s="9">
        <v>8</v>
      </c>
      <c r="B9" s="9" t="s">
        <v>55</v>
      </c>
      <c r="C9" s="9" t="s">
        <v>32</v>
      </c>
      <c r="D9" s="9" t="s">
        <v>56</v>
      </c>
      <c r="E9" s="12" t="s">
        <v>57</v>
      </c>
      <c r="F9" s="9" t="s">
        <v>58</v>
      </c>
      <c r="G9" s="11" t="s">
        <v>39</v>
      </c>
      <c r="H9" s="9" t="s">
        <v>59</v>
      </c>
      <c r="I9" s="9" t="s">
        <v>60</v>
      </c>
    </row>
    <row r="10" spans="1:9" ht="92.4" x14ac:dyDescent="0.3">
      <c r="A10" s="9">
        <v>9</v>
      </c>
      <c r="B10" s="9" t="s">
        <v>61</v>
      </c>
      <c r="C10" s="9" t="s">
        <v>32</v>
      </c>
      <c r="D10" s="9" t="s">
        <v>62</v>
      </c>
      <c r="E10" s="11" t="s">
        <v>39</v>
      </c>
      <c r="F10" s="9"/>
      <c r="G10" s="11" t="s">
        <v>39</v>
      </c>
      <c r="H10" s="9"/>
      <c r="I10" s="9" t="s">
        <v>63</v>
      </c>
    </row>
    <row r="11" spans="1:9" ht="198" x14ac:dyDescent="0.3">
      <c r="A11" s="9">
        <v>10</v>
      </c>
      <c r="B11" s="9" t="s">
        <v>64</v>
      </c>
      <c r="C11" s="9" t="s">
        <v>32</v>
      </c>
      <c r="D11" s="9" t="s">
        <v>65</v>
      </c>
      <c r="E11" s="10" t="s">
        <v>34</v>
      </c>
      <c r="F11" s="9"/>
      <c r="G11" s="10" t="s">
        <v>34</v>
      </c>
      <c r="H11" s="9" t="s">
        <v>66</v>
      </c>
      <c r="I11" s="9" t="s">
        <v>67</v>
      </c>
    </row>
    <row r="12" spans="1:9" ht="79.2" x14ac:dyDescent="0.3">
      <c r="A12" s="9">
        <v>11</v>
      </c>
      <c r="B12" s="9" t="s">
        <v>68</v>
      </c>
      <c r="C12" s="9" t="s">
        <v>32</v>
      </c>
      <c r="D12" s="9" t="s">
        <v>69</v>
      </c>
      <c r="E12" s="10" t="s">
        <v>34</v>
      </c>
      <c r="F12" s="9"/>
      <c r="G12" s="10" t="s">
        <v>34</v>
      </c>
      <c r="H12" s="9" t="s">
        <v>70</v>
      </c>
      <c r="I12" s="9" t="s">
        <v>71</v>
      </c>
    </row>
    <row r="13" spans="1:9" ht="79.2" x14ac:dyDescent="0.3">
      <c r="A13" s="9">
        <v>12</v>
      </c>
      <c r="B13" s="9" t="s">
        <v>72</v>
      </c>
      <c r="C13" s="9" t="s">
        <v>32</v>
      </c>
      <c r="D13" s="9" t="s">
        <v>73</v>
      </c>
      <c r="E13" s="11" t="s">
        <v>39</v>
      </c>
      <c r="F13" s="9"/>
      <c r="G13" s="11" t="s">
        <v>39</v>
      </c>
      <c r="H13" s="9"/>
      <c r="I13" s="9" t="s">
        <v>46</v>
      </c>
    </row>
    <row r="14" spans="1:9" ht="118.8" x14ac:dyDescent="0.3">
      <c r="A14" s="9">
        <v>13</v>
      </c>
      <c r="B14" s="9" t="s">
        <v>74</v>
      </c>
      <c r="C14" s="9" t="s">
        <v>32</v>
      </c>
      <c r="D14" s="9" t="s">
        <v>75</v>
      </c>
      <c r="E14" s="11" t="s">
        <v>39</v>
      </c>
      <c r="F14" s="9"/>
      <c r="G14" s="11" t="s">
        <v>39</v>
      </c>
      <c r="H14" s="9"/>
      <c r="I14" s="9" t="s">
        <v>46</v>
      </c>
    </row>
    <row r="15" spans="1:9" ht="92.4" x14ac:dyDescent="0.3">
      <c r="A15" s="9">
        <v>14</v>
      </c>
      <c r="B15" s="9" t="s">
        <v>76</v>
      </c>
      <c r="C15" s="9" t="s">
        <v>32</v>
      </c>
      <c r="D15" s="9" t="s">
        <v>77</v>
      </c>
      <c r="E15" s="11" t="s">
        <v>39</v>
      </c>
      <c r="F15" s="9"/>
      <c r="G15" s="11" t="s">
        <v>39</v>
      </c>
      <c r="H15" s="9"/>
      <c r="I15" s="9" t="s">
        <v>46</v>
      </c>
    </row>
    <row r="16" spans="1:9" ht="198" x14ac:dyDescent="0.3">
      <c r="A16" s="9">
        <v>15</v>
      </c>
      <c r="B16" s="9" t="s">
        <v>78</v>
      </c>
      <c r="C16" s="9" t="s">
        <v>32</v>
      </c>
      <c r="D16" s="9" t="s">
        <v>79</v>
      </c>
      <c r="E16" s="11" t="s">
        <v>39</v>
      </c>
      <c r="F16" s="9"/>
      <c r="G16" s="11" t="s">
        <v>39</v>
      </c>
      <c r="H16" s="9"/>
      <c r="I16" s="9" t="s">
        <v>46</v>
      </c>
    </row>
    <row r="17" spans="1:9" ht="158.4" x14ac:dyDescent="0.3">
      <c r="A17" s="9">
        <v>16</v>
      </c>
      <c r="B17" s="9" t="s">
        <v>80</v>
      </c>
      <c r="C17" s="9" t="s">
        <v>32</v>
      </c>
      <c r="D17" s="9" t="s">
        <v>81</v>
      </c>
      <c r="E17" s="11" t="s">
        <v>39</v>
      </c>
      <c r="F17" s="9"/>
      <c r="G17" s="11" t="s">
        <v>39</v>
      </c>
      <c r="H17" s="9"/>
      <c r="I17" s="9" t="s">
        <v>82</v>
      </c>
    </row>
    <row r="18" spans="1:9" ht="198" x14ac:dyDescent="0.3">
      <c r="A18" s="9">
        <v>17</v>
      </c>
      <c r="B18" s="9" t="s">
        <v>83</v>
      </c>
      <c r="C18" s="9" t="s">
        <v>32</v>
      </c>
      <c r="D18" s="9" t="s">
        <v>84</v>
      </c>
      <c r="E18" s="11" t="s">
        <v>39</v>
      </c>
      <c r="F18" s="9"/>
      <c r="G18" s="11" t="s">
        <v>39</v>
      </c>
      <c r="H18" s="9"/>
      <c r="I18" s="9" t="s">
        <v>85</v>
      </c>
    </row>
    <row r="19" spans="1:9" ht="158.4" x14ac:dyDescent="0.3">
      <c r="A19" s="9">
        <v>18</v>
      </c>
      <c r="B19" s="9" t="s">
        <v>86</v>
      </c>
      <c r="C19" s="9" t="s">
        <v>32</v>
      </c>
      <c r="D19" s="9" t="s">
        <v>87</v>
      </c>
      <c r="E19" s="11" t="s">
        <v>39</v>
      </c>
      <c r="F19" s="9"/>
      <c r="G19" s="11" t="s">
        <v>39</v>
      </c>
      <c r="H19" s="9"/>
      <c r="I19" s="9" t="s">
        <v>46</v>
      </c>
    </row>
    <row r="20" spans="1:9" ht="79.2" x14ac:dyDescent="0.3">
      <c r="A20" s="9">
        <v>19</v>
      </c>
      <c r="B20" s="9" t="s">
        <v>88</v>
      </c>
      <c r="C20" s="13" t="s">
        <v>89</v>
      </c>
      <c r="D20" s="9" t="s">
        <v>90</v>
      </c>
      <c r="E20" s="12" t="s">
        <v>57</v>
      </c>
      <c r="F20" s="9" t="s">
        <v>91</v>
      </c>
      <c r="G20" s="11" t="s">
        <v>39</v>
      </c>
      <c r="H20" s="9" t="s">
        <v>92</v>
      </c>
      <c r="I20" s="9" t="s">
        <v>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92.4" x14ac:dyDescent="0.3">
      <c r="A2" s="9">
        <v>1</v>
      </c>
      <c r="B2" s="9" t="s">
        <v>31</v>
      </c>
      <c r="C2" s="9" t="s">
        <v>32</v>
      </c>
      <c r="D2" s="9" t="s">
        <v>94</v>
      </c>
      <c r="E2" s="10" t="s">
        <v>34</v>
      </c>
      <c r="F2" s="9"/>
      <c r="G2" s="10" t="s">
        <v>34</v>
      </c>
      <c r="H2" s="9" t="s">
        <v>95</v>
      </c>
      <c r="I2" s="9" t="s">
        <v>96</v>
      </c>
    </row>
    <row r="3" spans="1:9" ht="409.6" x14ac:dyDescent="0.3">
      <c r="A3" s="9">
        <v>2</v>
      </c>
      <c r="B3" s="9" t="s">
        <v>37</v>
      </c>
      <c r="C3" s="9" t="s">
        <v>32</v>
      </c>
      <c r="D3" s="9" t="s">
        <v>97</v>
      </c>
      <c r="E3" s="11" t="s">
        <v>39</v>
      </c>
      <c r="F3" s="9"/>
      <c r="G3" s="11" t="s">
        <v>39</v>
      </c>
      <c r="H3" s="9"/>
      <c r="I3" s="9" t="s">
        <v>98</v>
      </c>
    </row>
    <row r="4" spans="1:9" ht="290.39999999999998" x14ac:dyDescent="0.3">
      <c r="A4" s="9">
        <v>3</v>
      </c>
      <c r="B4" s="9" t="s">
        <v>41</v>
      </c>
      <c r="C4" s="9" t="s">
        <v>32</v>
      </c>
      <c r="D4" s="9" t="s">
        <v>99</v>
      </c>
      <c r="E4" s="11" t="s">
        <v>39</v>
      </c>
      <c r="F4" s="9"/>
      <c r="G4" s="11" t="s">
        <v>39</v>
      </c>
      <c r="H4" s="9"/>
      <c r="I4" s="9" t="s">
        <v>98</v>
      </c>
    </row>
    <row r="5" spans="1:9" ht="356.4" x14ac:dyDescent="0.3">
      <c r="A5" s="9">
        <v>4</v>
      </c>
      <c r="B5" s="9" t="s">
        <v>44</v>
      </c>
      <c r="C5" s="9" t="s">
        <v>32</v>
      </c>
      <c r="D5" s="9" t="s">
        <v>100</v>
      </c>
      <c r="E5" s="11" t="s">
        <v>39</v>
      </c>
      <c r="F5" s="9"/>
      <c r="G5" s="11" t="s">
        <v>39</v>
      </c>
      <c r="H5" s="9"/>
      <c r="I5" s="9" t="s">
        <v>98</v>
      </c>
    </row>
    <row r="6" spans="1:9" ht="118.8" x14ac:dyDescent="0.3">
      <c r="A6" s="9">
        <v>5</v>
      </c>
      <c r="B6" s="9" t="s">
        <v>47</v>
      </c>
      <c r="C6" s="9" t="s">
        <v>32</v>
      </c>
      <c r="D6" s="9" t="s">
        <v>101</v>
      </c>
      <c r="E6" s="11" t="s">
        <v>39</v>
      </c>
      <c r="F6" s="9"/>
      <c r="G6" s="11" t="s">
        <v>39</v>
      </c>
      <c r="H6" s="9"/>
      <c r="I6" s="9" t="s">
        <v>98</v>
      </c>
    </row>
    <row r="7" spans="1:9" ht="330" x14ac:dyDescent="0.3">
      <c r="A7" s="9">
        <v>6</v>
      </c>
      <c r="B7" s="9" t="s">
        <v>49</v>
      </c>
      <c r="C7" s="9" t="s">
        <v>32</v>
      </c>
      <c r="D7" s="9" t="s">
        <v>102</v>
      </c>
      <c r="E7" s="11" t="s">
        <v>39</v>
      </c>
      <c r="F7" s="9"/>
      <c r="G7" s="11" t="s">
        <v>39</v>
      </c>
      <c r="H7" s="9"/>
      <c r="I7" s="9" t="s">
        <v>98</v>
      </c>
    </row>
    <row r="8" spans="1:9" ht="66" x14ac:dyDescent="0.3">
      <c r="A8" s="9">
        <v>7</v>
      </c>
      <c r="B8" s="9" t="s">
        <v>51</v>
      </c>
      <c r="C8" s="9" t="s">
        <v>32</v>
      </c>
      <c r="D8" s="9" t="s">
        <v>103</v>
      </c>
      <c r="E8" s="12" t="s">
        <v>57</v>
      </c>
      <c r="F8" s="9" t="s">
        <v>104</v>
      </c>
      <c r="G8" s="11" t="s">
        <v>39</v>
      </c>
      <c r="H8" s="9" t="s">
        <v>105</v>
      </c>
      <c r="I8" s="9" t="s">
        <v>106</v>
      </c>
    </row>
    <row r="9" spans="1:9" ht="66" x14ac:dyDescent="0.3">
      <c r="A9" s="9">
        <v>8</v>
      </c>
      <c r="B9" s="9" t="s">
        <v>55</v>
      </c>
      <c r="C9" s="9" t="s">
        <v>32</v>
      </c>
      <c r="D9" s="9" t="s">
        <v>107</v>
      </c>
      <c r="E9" s="12" t="s">
        <v>57</v>
      </c>
      <c r="F9" s="9" t="s">
        <v>108</v>
      </c>
      <c r="G9" s="11" t="s">
        <v>39</v>
      </c>
      <c r="H9" s="9" t="s">
        <v>109</v>
      </c>
      <c r="I9" s="9" t="s">
        <v>110</v>
      </c>
    </row>
    <row r="10" spans="1:9" ht="132" x14ac:dyDescent="0.3">
      <c r="A10" s="9">
        <v>9</v>
      </c>
      <c r="B10" s="9" t="s">
        <v>61</v>
      </c>
      <c r="C10" s="9" t="s">
        <v>32</v>
      </c>
      <c r="D10" s="9" t="s">
        <v>111</v>
      </c>
      <c r="E10" s="11" t="s">
        <v>39</v>
      </c>
      <c r="F10" s="9"/>
      <c r="G10" s="11" t="s">
        <v>39</v>
      </c>
      <c r="H10" s="9"/>
      <c r="I10" s="9" t="s">
        <v>98</v>
      </c>
    </row>
    <row r="11" spans="1:9" ht="250.8" x14ac:dyDescent="0.3">
      <c r="A11" s="9">
        <v>10</v>
      </c>
      <c r="B11" s="9" t="s">
        <v>64</v>
      </c>
      <c r="C11" s="9" t="s">
        <v>32</v>
      </c>
      <c r="D11" s="9" t="s">
        <v>112</v>
      </c>
      <c r="E11" s="11" t="s">
        <v>39</v>
      </c>
      <c r="F11" s="9"/>
      <c r="G11" s="11" t="s">
        <v>39</v>
      </c>
      <c r="H11" s="9"/>
      <c r="I11" s="9" t="s">
        <v>113</v>
      </c>
    </row>
    <row r="12" spans="1:9" ht="79.2" x14ac:dyDescent="0.3">
      <c r="A12" s="9">
        <v>11</v>
      </c>
      <c r="B12" s="9" t="s">
        <v>68</v>
      </c>
      <c r="C12" s="9" t="s">
        <v>32</v>
      </c>
      <c r="D12" s="9" t="s">
        <v>114</v>
      </c>
      <c r="E12" s="11" t="s">
        <v>39</v>
      </c>
      <c r="F12" s="9"/>
      <c r="G12" s="11" t="s">
        <v>39</v>
      </c>
      <c r="H12" s="9"/>
      <c r="I12" s="9" t="s">
        <v>98</v>
      </c>
    </row>
    <row r="13" spans="1:9" ht="79.2" x14ac:dyDescent="0.3">
      <c r="A13" s="9">
        <v>12</v>
      </c>
      <c r="B13" s="9" t="s">
        <v>72</v>
      </c>
      <c r="C13" s="9" t="s">
        <v>32</v>
      </c>
      <c r="D13" s="9" t="s">
        <v>115</v>
      </c>
      <c r="E13" s="11" t="s">
        <v>39</v>
      </c>
      <c r="F13" s="9"/>
      <c r="G13" s="11" t="s">
        <v>39</v>
      </c>
      <c r="H13" s="9"/>
      <c r="I13" s="9" t="s">
        <v>98</v>
      </c>
    </row>
    <row r="14" spans="1:9" ht="92.4" x14ac:dyDescent="0.3">
      <c r="A14" s="9">
        <v>13</v>
      </c>
      <c r="B14" s="9" t="s">
        <v>74</v>
      </c>
      <c r="C14" s="9" t="s">
        <v>32</v>
      </c>
      <c r="D14" s="9" t="s">
        <v>116</v>
      </c>
      <c r="E14" s="11" t="s">
        <v>39</v>
      </c>
      <c r="F14" s="9"/>
      <c r="G14" s="11" t="s">
        <v>39</v>
      </c>
      <c r="H14" s="9"/>
      <c r="I14" s="9" t="s">
        <v>98</v>
      </c>
    </row>
    <row r="15" spans="1:9" ht="79.2" x14ac:dyDescent="0.3">
      <c r="A15" s="9">
        <v>14</v>
      </c>
      <c r="B15" s="9" t="s">
        <v>76</v>
      </c>
      <c r="C15" s="9" t="s">
        <v>32</v>
      </c>
      <c r="D15" s="9" t="s">
        <v>117</v>
      </c>
      <c r="E15" s="11" t="s">
        <v>39</v>
      </c>
      <c r="F15" s="9"/>
      <c r="G15" s="11" t="s">
        <v>39</v>
      </c>
      <c r="H15" s="9"/>
      <c r="I15" s="9" t="s">
        <v>98</v>
      </c>
    </row>
    <row r="16" spans="1:9" ht="132" x14ac:dyDescent="0.3">
      <c r="A16" s="9">
        <v>15</v>
      </c>
      <c r="B16" s="9" t="s">
        <v>78</v>
      </c>
      <c r="C16" s="9" t="s">
        <v>32</v>
      </c>
      <c r="D16" s="9" t="s">
        <v>118</v>
      </c>
      <c r="E16" s="11" t="s">
        <v>39</v>
      </c>
      <c r="F16" s="9"/>
      <c r="G16" s="11" t="s">
        <v>39</v>
      </c>
      <c r="H16" s="9"/>
      <c r="I16" s="9" t="s">
        <v>98</v>
      </c>
    </row>
    <row r="17" spans="1:9" ht="79.2" x14ac:dyDescent="0.3">
      <c r="A17" s="9">
        <v>16</v>
      </c>
      <c r="B17" s="9" t="s">
        <v>80</v>
      </c>
      <c r="C17" s="9" t="s">
        <v>32</v>
      </c>
      <c r="D17" s="9" t="s">
        <v>119</v>
      </c>
      <c r="E17" s="11" t="s">
        <v>39</v>
      </c>
      <c r="F17" s="9"/>
      <c r="G17" s="11" t="s">
        <v>39</v>
      </c>
      <c r="H17" s="9"/>
      <c r="I17" s="9" t="s">
        <v>98</v>
      </c>
    </row>
    <row r="18" spans="1:9" ht="92.4" x14ac:dyDescent="0.3">
      <c r="A18" s="9">
        <v>17</v>
      </c>
      <c r="B18" s="9" t="s">
        <v>86</v>
      </c>
      <c r="C18" s="9" t="s">
        <v>32</v>
      </c>
      <c r="D18" s="9" t="s">
        <v>120</v>
      </c>
      <c r="E18" s="11" t="s">
        <v>39</v>
      </c>
      <c r="F18" s="9"/>
      <c r="G18" s="11" t="s">
        <v>39</v>
      </c>
      <c r="H18" s="9"/>
      <c r="I18" s="9" t="s">
        <v>121</v>
      </c>
    </row>
    <row r="19" spans="1:9" ht="66" x14ac:dyDescent="0.3">
      <c r="A19" s="9">
        <v>18</v>
      </c>
      <c r="B19" s="9" t="s">
        <v>88</v>
      </c>
      <c r="C19" s="9" t="s">
        <v>32</v>
      </c>
      <c r="D19" s="9" t="s">
        <v>122</v>
      </c>
      <c r="E19" s="12" t="s">
        <v>57</v>
      </c>
      <c r="F19" s="9" t="s">
        <v>123</v>
      </c>
      <c r="G19" s="11" t="s">
        <v>39</v>
      </c>
      <c r="H19" s="9" t="s">
        <v>124</v>
      </c>
      <c r="I19" s="9" t="s">
        <v>98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277.2" x14ac:dyDescent="0.3">
      <c r="A2" s="9">
        <v>1</v>
      </c>
      <c r="B2" s="9" t="s">
        <v>31</v>
      </c>
      <c r="C2" s="9" t="s">
        <v>32</v>
      </c>
      <c r="D2" s="9" t="s">
        <v>125</v>
      </c>
      <c r="E2" s="10" t="s">
        <v>34</v>
      </c>
      <c r="F2" s="9" t="s">
        <v>126</v>
      </c>
      <c r="G2" s="10" t="s">
        <v>34</v>
      </c>
      <c r="H2" s="9" t="s">
        <v>127</v>
      </c>
      <c r="I2" s="9" t="s">
        <v>128</v>
      </c>
    </row>
    <row r="3" spans="1:9" ht="171.6" x14ac:dyDescent="0.3">
      <c r="A3" s="9">
        <v>2</v>
      </c>
      <c r="B3" s="9" t="s">
        <v>37</v>
      </c>
      <c r="C3" s="9" t="s">
        <v>32</v>
      </c>
      <c r="D3" s="9" t="s">
        <v>129</v>
      </c>
      <c r="E3" s="10" t="s">
        <v>34</v>
      </c>
      <c r="F3" s="9" t="s">
        <v>130</v>
      </c>
      <c r="G3" s="10" t="s">
        <v>34</v>
      </c>
      <c r="H3" s="9" t="s">
        <v>131</v>
      </c>
      <c r="I3" s="9"/>
    </row>
    <row r="4" spans="1:9" ht="330" x14ac:dyDescent="0.3">
      <c r="A4" s="9">
        <v>3</v>
      </c>
      <c r="B4" s="9" t="s">
        <v>41</v>
      </c>
      <c r="C4" s="9" t="s">
        <v>32</v>
      </c>
      <c r="D4" s="9" t="s">
        <v>132</v>
      </c>
      <c r="E4" s="12" t="s">
        <v>57</v>
      </c>
      <c r="F4" s="9" t="s">
        <v>133</v>
      </c>
      <c r="G4" s="11" t="s">
        <v>39</v>
      </c>
      <c r="H4" s="9" t="s">
        <v>134</v>
      </c>
      <c r="I4" s="9"/>
    </row>
    <row r="5" spans="1:9" ht="330" x14ac:dyDescent="0.3">
      <c r="A5" s="9">
        <v>4</v>
      </c>
      <c r="B5" s="9" t="s">
        <v>44</v>
      </c>
      <c r="C5" s="9" t="s">
        <v>32</v>
      </c>
      <c r="D5" s="9" t="s">
        <v>135</v>
      </c>
      <c r="E5" s="12" t="s">
        <v>57</v>
      </c>
      <c r="F5" s="9" t="s">
        <v>136</v>
      </c>
      <c r="G5" s="11" t="s">
        <v>39</v>
      </c>
      <c r="H5" s="9" t="s">
        <v>137</v>
      </c>
      <c r="I5" s="9"/>
    </row>
    <row r="6" spans="1:9" ht="330" x14ac:dyDescent="0.3">
      <c r="A6" s="9">
        <v>5</v>
      </c>
      <c r="B6" s="9" t="s">
        <v>47</v>
      </c>
      <c r="C6" s="9" t="s">
        <v>32</v>
      </c>
      <c r="D6" s="9" t="s">
        <v>138</v>
      </c>
      <c r="E6" s="12" t="s">
        <v>57</v>
      </c>
      <c r="F6" s="9" t="s">
        <v>139</v>
      </c>
      <c r="G6" s="11" t="s">
        <v>39</v>
      </c>
      <c r="H6" s="9" t="s">
        <v>140</v>
      </c>
      <c r="I6" s="9"/>
    </row>
    <row r="7" spans="1:9" ht="316.8" x14ac:dyDescent="0.3">
      <c r="A7" s="9">
        <v>6</v>
      </c>
      <c r="B7" s="9" t="s">
        <v>49</v>
      </c>
      <c r="C7" s="9" t="s">
        <v>32</v>
      </c>
      <c r="D7" s="9" t="s">
        <v>141</v>
      </c>
      <c r="E7" s="12" t="s">
        <v>57</v>
      </c>
      <c r="F7" s="9" t="s">
        <v>142</v>
      </c>
      <c r="G7" s="11" t="s">
        <v>39</v>
      </c>
      <c r="H7" s="9" t="s">
        <v>140</v>
      </c>
      <c r="I7" s="9"/>
    </row>
    <row r="8" spans="1:9" ht="316.8" x14ac:dyDescent="0.3">
      <c r="A8" s="9">
        <v>7</v>
      </c>
      <c r="B8" s="9" t="s">
        <v>51</v>
      </c>
      <c r="C8" s="9" t="s">
        <v>32</v>
      </c>
      <c r="D8" s="9" t="s">
        <v>143</v>
      </c>
      <c r="E8" s="10" t="s">
        <v>34</v>
      </c>
      <c r="F8" s="9" t="s">
        <v>144</v>
      </c>
      <c r="G8" s="12" t="s">
        <v>57</v>
      </c>
      <c r="H8" s="9" t="s">
        <v>145</v>
      </c>
      <c r="I8" s="9"/>
    </row>
    <row r="9" spans="1:9" ht="316.8" x14ac:dyDescent="0.3">
      <c r="A9" s="9">
        <v>8</v>
      </c>
      <c r="B9" s="9" t="s">
        <v>55</v>
      </c>
      <c r="C9" s="9" t="s">
        <v>32</v>
      </c>
      <c r="D9" s="9" t="s">
        <v>146</v>
      </c>
      <c r="E9" s="12" t="s">
        <v>57</v>
      </c>
      <c r="F9" s="9" t="s">
        <v>147</v>
      </c>
      <c r="G9" s="12" t="s">
        <v>57</v>
      </c>
      <c r="H9" s="9" t="s">
        <v>148</v>
      </c>
      <c r="I9" s="9"/>
    </row>
    <row r="10" spans="1:9" ht="316.8" x14ac:dyDescent="0.3">
      <c r="A10" s="9">
        <v>9</v>
      </c>
      <c r="B10" s="9" t="s">
        <v>61</v>
      </c>
      <c r="C10" s="9" t="s">
        <v>32</v>
      </c>
      <c r="D10" s="9" t="s">
        <v>149</v>
      </c>
      <c r="E10" s="12" t="s">
        <v>57</v>
      </c>
      <c r="F10" s="9" t="s">
        <v>150</v>
      </c>
      <c r="G10" s="12" t="s">
        <v>57</v>
      </c>
      <c r="H10" s="9" t="s">
        <v>151</v>
      </c>
      <c r="I10" s="9"/>
    </row>
    <row r="11" spans="1:9" ht="316.8" x14ac:dyDescent="0.3">
      <c r="A11" s="9">
        <v>10</v>
      </c>
      <c r="B11" s="9" t="s">
        <v>64</v>
      </c>
      <c r="C11" s="9" t="s">
        <v>32</v>
      </c>
      <c r="D11" s="9" t="s">
        <v>152</v>
      </c>
      <c r="E11" s="12" t="s">
        <v>57</v>
      </c>
      <c r="F11" s="9" t="s">
        <v>153</v>
      </c>
      <c r="G11" s="12" t="s">
        <v>57</v>
      </c>
      <c r="H11" s="9" t="s">
        <v>154</v>
      </c>
      <c r="I11" s="9"/>
    </row>
    <row r="12" spans="1:9" ht="316.8" x14ac:dyDescent="0.3">
      <c r="A12" s="9">
        <v>11</v>
      </c>
      <c r="B12" s="9" t="s">
        <v>68</v>
      </c>
      <c r="C12" s="9" t="s">
        <v>32</v>
      </c>
      <c r="D12" s="9" t="s">
        <v>155</v>
      </c>
      <c r="E12" s="12" t="s">
        <v>57</v>
      </c>
      <c r="F12" s="9" t="s">
        <v>156</v>
      </c>
      <c r="G12" s="12" t="s">
        <v>57</v>
      </c>
      <c r="H12" s="9" t="s">
        <v>154</v>
      </c>
      <c r="I12" s="9"/>
    </row>
    <row r="13" spans="1:9" ht="316.8" x14ac:dyDescent="0.3">
      <c r="A13" s="9">
        <v>12</v>
      </c>
      <c r="B13" s="9" t="s">
        <v>72</v>
      </c>
      <c r="C13" s="9" t="s">
        <v>32</v>
      </c>
      <c r="D13" s="9" t="s">
        <v>157</v>
      </c>
      <c r="E13" s="12" t="s">
        <v>57</v>
      </c>
      <c r="F13" s="9" t="s">
        <v>158</v>
      </c>
      <c r="G13" s="12" t="s">
        <v>57</v>
      </c>
      <c r="H13" s="9" t="s">
        <v>154</v>
      </c>
      <c r="I13" s="9"/>
    </row>
    <row r="14" spans="1:9" ht="330" x14ac:dyDescent="0.3">
      <c r="A14" s="9">
        <v>13</v>
      </c>
      <c r="B14" s="9" t="s">
        <v>74</v>
      </c>
      <c r="C14" s="9" t="s">
        <v>32</v>
      </c>
      <c r="D14" s="9" t="s">
        <v>159</v>
      </c>
      <c r="E14" s="10" t="s">
        <v>34</v>
      </c>
      <c r="F14" s="9" t="s">
        <v>160</v>
      </c>
      <c r="G14" s="12" t="s">
        <v>57</v>
      </c>
      <c r="H14" s="9" t="s">
        <v>154</v>
      </c>
      <c r="I14" s="9"/>
    </row>
    <row r="15" spans="1:9" ht="316.8" x14ac:dyDescent="0.3">
      <c r="A15" s="9">
        <v>14</v>
      </c>
      <c r="B15" s="9" t="s">
        <v>76</v>
      </c>
      <c r="C15" s="9" t="s">
        <v>32</v>
      </c>
      <c r="D15" s="9" t="s">
        <v>161</v>
      </c>
      <c r="E15" s="10" t="s">
        <v>34</v>
      </c>
      <c r="F15" s="9" t="s">
        <v>162</v>
      </c>
      <c r="G15" s="12" t="s">
        <v>57</v>
      </c>
      <c r="H15" s="9" t="s">
        <v>154</v>
      </c>
      <c r="I15" s="9"/>
    </row>
    <row r="16" spans="1:9" ht="316.8" x14ac:dyDescent="0.3">
      <c r="A16" s="9">
        <v>15</v>
      </c>
      <c r="B16" s="9" t="s">
        <v>78</v>
      </c>
      <c r="C16" s="9" t="s">
        <v>32</v>
      </c>
      <c r="D16" s="9" t="s">
        <v>163</v>
      </c>
      <c r="E16" s="10" t="s">
        <v>34</v>
      </c>
      <c r="F16" s="9" t="s">
        <v>164</v>
      </c>
      <c r="G16" s="12" t="s">
        <v>57</v>
      </c>
      <c r="H16" s="9" t="s">
        <v>154</v>
      </c>
      <c r="I16" s="9"/>
    </row>
    <row r="17" spans="1:9" ht="330" x14ac:dyDescent="0.3">
      <c r="A17" s="9">
        <v>16</v>
      </c>
      <c r="B17" s="9" t="s">
        <v>80</v>
      </c>
      <c r="C17" s="9" t="s">
        <v>32</v>
      </c>
      <c r="D17" s="9" t="s">
        <v>165</v>
      </c>
      <c r="E17" s="12" t="s">
        <v>57</v>
      </c>
      <c r="F17" s="9" t="s">
        <v>166</v>
      </c>
      <c r="G17" s="12" t="s">
        <v>57</v>
      </c>
      <c r="H17" s="9" t="s">
        <v>167</v>
      </c>
      <c r="I17" s="9" t="s">
        <v>168</v>
      </c>
    </row>
    <row r="18" spans="1:9" ht="184.8" x14ac:dyDescent="0.3">
      <c r="A18" s="9">
        <v>17</v>
      </c>
      <c r="B18" s="9" t="s">
        <v>86</v>
      </c>
      <c r="C18" s="9" t="s">
        <v>32</v>
      </c>
      <c r="D18" s="9" t="s">
        <v>169</v>
      </c>
      <c r="E18" s="11" t="s">
        <v>39</v>
      </c>
      <c r="F18" s="9" t="s">
        <v>170</v>
      </c>
      <c r="G18" s="12" t="s">
        <v>57</v>
      </c>
      <c r="H18" s="9" t="s">
        <v>171</v>
      </c>
      <c r="I18" s="9"/>
    </row>
    <row r="19" spans="1:9" ht="79.2" x14ac:dyDescent="0.3">
      <c r="A19" s="9">
        <v>18</v>
      </c>
      <c r="B19" s="9" t="s">
        <v>88</v>
      </c>
      <c r="C19" s="9" t="s">
        <v>32</v>
      </c>
      <c r="D19" s="9" t="s">
        <v>172</v>
      </c>
      <c r="E19" s="12" t="s">
        <v>57</v>
      </c>
      <c r="F19" s="9" t="s">
        <v>173</v>
      </c>
      <c r="G19" s="12" t="s">
        <v>57</v>
      </c>
      <c r="H19" s="9" t="s">
        <v>174</v>
      </c>
      <c r="I19" s="9" t="s">
        <v>175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264" x14ac:dyDescent="0.3">
      <c r="A2" s="9">
        <v>1</v>
      </c>
      <c r="B2" s="9" t="s">
        <v>31</v>
      </c>
      <c r="C2" s="9" t="s">
        <v>32</v>
      </c>
      <c r="D2" s="9" t="s">
        <v>176</v>
      </c>
      <c r="E2" s="11" t="s">
        <v>39</v>
      </c>
      <c r="F2" s="9"/>
      <c r="G2" s="11" t="s">
        <v>39</v>
      </c>
      <c r="H2" s="9"/>
      <c r="I2" s="9" t="s">
        <v>177</v>
      </c>
    </row>
    <row r="3" spans="1:9" ht="52.8" x14ac:dyDescent="0.3">
      <c r="A3" s="9">
        <v>2</v>
      </c>
      <c r="B3" s="9" t="s">
        <v>178</v>
      </c>
      <c r="C3" s="9" t="s">
        <v>32</v>
      </c>
      <c r="D3" s="9" t="s">
        <v>179</v>
      </c>
      <c r="E3" s="10" t="s">
        <v>34</v>
      </c>
      <c r="F3" s="9"/>
      <c r="G3" s="10" t="s">
        <v>34</v>
      </c>
      <c r="H3" s="9" t="s">
        <v>180</v>
      </c>
      <c r="I3" s="9" t="s">
        <v>181</v>
      </c>
    </row>
    <row r="4" spans="1:9" ht="66" x14ac:dyDescent="0.3">
      <c r="A4" s="9">
        <v>3</v>
      </c>
      <c r="B4" s="9" t="s">
        <v>182</v>
      </c>
      <c r="C4" s="9" t="s">
        <v>32</v>
      </c>
      <c r="D4" s="9" t="s">
        <v>183</v>
      </c>
      <c r="E4" s="11" t="s">
        <v>39</v>
      </c>
      <c r="F4" s="9"/>
      <c r="G4" s="11" t="s">
        <v>39</v>
      </c>
      <c r="H4" s="9" t="s">
        <v>184</v>
      </c>
      <c r="I4" s="9" t="s">
        <v>185</v>
      </c>
    </row>
    <row r="5" spans="1:9" ht="250.8" x14ac:dyDescent="0.3">
      <c r="A5" s="9">
        <v>4</v>
      </c>
      <c r="B5" s="9" t="s">
        <v>44</v>
      </c>
      <c r="C5" s="9" t="s">
        <v>32</v>
      </c>
      <c r="D5" s="9" t="s">
        <v>186</v>
      </c>
      <c r="E5" s="12" t="s">
        <v>57</v>
      </c>
      <c r="F5" s="9" t="s">
        <v>187</v>
      </c>
      <c r="G5" s="11" t="s">
        <v>39</v>
      </c>
      <c r="H5" s="9" t="s">
        <v>140</v>
      </c>
      <c r="I5" s="9" t="s">
        <v>177</v>
      </c>
    </row>
    <row r="6" spans="1:9" ht="303.60000000000002" x14ac:dyDescent="0.3">
      <c r="A6" s="9">
        <v>5</v>
      </c>
      <c r="B6" s="9" t="s">
        <v>49</v>
      </c>
      <c r="C6" s="9" t="s">
        <v>32</v>
      </c>
      <c r="D6" s="9" t="s">
        <v>188</v>
      </c>
      <c r="E6" s="12" t="s">
        <v>57</v>
      </c>
      <c r="F6" s="9" t="s">
        <v>189</v>
      </c>
      <c r="G6" s="11" t="s">
        <v>39</v>
      </c>
      <c r="H6" s="9" t="s">
        <v>140</v>
      </c>
      <c r="I6" s="9" t="s">
        <v>177</v>
      </c>
    </row>
    <row r="7" spans="1:9" ht="66" x14ac:dyDescent="0.3">
      <c r="A7" s="9">
        <v>6</v>
      </c>
      <c r="B7" s="9" t="s">
        <v>190</v>
      </c>
      <c r="C7" s="9" t="s">
        <v>32</v>
      </c>
      <c r="D7" s="9" t="s">
        <v>191</v>
      </c>
      <c r="E7" s="12" t="s">
        <v>57</v>
      </c>
      <c r="F7" s="9" t="s">
        <v>192</v>
      </c>
      <c r="G7" s="12" t="s">
        <v>57</v>
      </c>
      <c r="H7" s="9" t="s">
        <v>193</v>
      </c>
      <c r="I7" s="9" t="s">
        <v>194</v>
      </c>
    </row>
    <row r="8" spans="1:9" ht="132" x14ac:dyDescent="0.3">
      <c r="A8" s="9">
        <v>7</v>
      </c>
      <c r="B8" s="9" t="s">
        <v>55</v>
      </c>
      <c r="C8" s="9" t="s">
        <v>32</v>
      </c>
      <c r="D8" s="9" t="s">
        <v>195</v>
      </c>
      <c r="E8" s="12" t="s">
        <v>57</v>
      </c>
      <c r="F8" s="9" t="s">
        <v>196</v>
      </c>
      <c r="G8" s="11" t="s">
        <v>39</v>
      </c>
      <c r="H8" s="9" t="s">
        <v>197</v>
      </c>
      <c r="I8" s="9" t="s">
        <v>198</v>
      </c>
    </row>
    <row r="9" spans="1:9" ht="52.8" x14ac:dyDescent="0.3">
      <c r="A9" s="9">
        <v>8</v>
      </c>
      <c r="B9" s="9" t="s">
        <v>61</v>
      </c>
      <c r="C9" s="9" t="s">
        <v>32</v>
      </c>
      <c r="D9" s="9" t="s">
        <v>199</v>
      </c>
      <c r="E9" s="11" t="s">
        <v>39</v>
      </c>
      <c r="F9" s="9"/>
      <c r="G9" s="11" t="s">
        <v>39</v>
      </c>
      <c r="H9" s="9"/>
      <c r="I9" s="9" t="s">
        <v>177</v>
      </c>
    </row>
    <row r="10" spans="1:9" ht="211.2" x14ac:dyDescent="0.3">
      <c r="A10" s="9">
        <v>9</v>
      </c>
      <c r="B10" s="9" t="s">
        <v>200</v>
      </c>
      <c r="C10" s="9" t="s">
        <v>32</v>
      </c>
      <c r="D10" s="9" t="s">
        <v>201</v>
      </c>
      <c r="E10" s="10" t="s">
        <v>34</v>
      </c>
      <c r="F10" s="9"/>
      <c r="G10" s="10" t="s">
        <v>34</v>
      </c>
      <c r="H10" s="9" t="s">
        <v>202</v>
      </c>
      <c r="I10" s="9" t="s">
        <v>203</v>
      </c>
    </row>
    <row r="11" spans="1:9" ht="79.2" x14ac:dyDescent="0.3">
      <c r="A11" s="9">
        <v>10</v>
      </c>
      <c r="B11" s="9" t="s">
        <v>204</v>
      </c>
      <c r="C11" s="9" t="s">
        <v>32</v>
      </c>
      <c r="D11" s="9" t="s">
        <v>205</v>
      </c>
      <c r="E11" s="10" t="s">
        <v>34</v>
      </c>
      <c r="F11" s="9"/>
      <c r="G11" s="10" t="s">
        <v>34</v>
      </c>
      <c r="H11" s="9" t="s">
        <v>206</v>
      </c>
      <c r="I11" s="9" t="s">
        <v>207</v>
      </c>
    </row>
    <row r="12" spans="1:9" ht="66" x14ac:dyDescent="0.3">
      <c r="A12" s="9">
        <v>11</v>
      </c>
      <c r="B12" s="9" t="s">
        <v>68</v>
      </c>
      <c r="C12" s="9" t="s">
        <v>32</v>
      </c>
      <c r="D12" s="9" t="s">
        <v>208</v>
      </c>
      <c r="E12" s="11" t="s">
        <v>39</v>
      </c>
      <c r="F12" s="9"/>
      <c r="G12" s="11" t="s">
        <v>39</v>
      </c>
      <c r="H12" s="9"/>
      <c r="I12" s="9" t="s">
        <v>177</v>
      </c>
    </row>
    <row r="13" spans="1:9" ht="92.4" x14ac:dyDescent="0.3">
      <c r="A13" s="9">
        <v>12</v>
      </c>
      <c r="B13" s="9" t="s">
        <v>78</v>
      </c>
      <c r="C13" s="9" t="s">
        <v>32</v>
      </c>
      <c r="D13" s="9" t="s">
        <v>209</v>
      </c>
      <c r="E13" s="11" t="s">
        <v>39</v>
      </c>
      <c r="F13" s="9"/>
      <c r="G13" s="11" t="s">
        <v>39</v>
      </c>
      <c r="H13" s="9"/>
      <c r="I13" s="9" t="s">
        <v>177</v>
      </c>
    </row>
    <row r="14" spans="1:9" ht="92.4" x14ac:dyDescent="0.3">
      <c r="A14" s="9">
        <v>13</v>
      </c>
      <c r="B14" s="9" t="s">
        <v>80</v>
      </c>
      <c r="C14" s="9" t="s">
        <v>32</v>
      </c>
      <c r="D14" s="9" t="s">
        <v>210</v>
      </c>
      <c r="E14" s="10" t="s">
        <v>34</v>
      </c>
      <c r="F14" s="9"/>
      <c r="G14" s="10" t="s">
        <v>34</v>
      </c>
      <c r="H14" s="9" t="s">
        <v>211</v>
      </c>
      <c r="I14" s="9" t="s">
        <v>212</v>
      </c>
    </row>
    <row r="15" spans="1:9" ht="132" x14ac:dyDescent="0.3">
      <c r="A15" s="9">
        <v>14</v>
      </c>
      <c r="B15" s="9" t="s">
        <v>86</v>
      </c>
      <c r="C15" s="9" t="s">
        <v>32</v>
      </c>
      <c r="D15" s="9" t="s">
        <v>213</v>
      </c>
      <c r="E15" s="11" t="s">
        <v>39</v>
      </c>
      <c r="F15" s="9"/>
      <c r="G15" s="11" t="s">
        <v>39</v>
      </c>
      <c r="H15" s="9"/>
      <c r="I15" s="9" t="s">
        <v>177</v>
      </c>
    </row>
    <row r="16" spans="1:9" ht="66" x14ac:dyDescent="0.3">
      <c r="A16" s="9">
        <v>15</v>
      </c>
      <c r="B16" s="9" t="s">
        <v>88</v>
      </c>
      <c r="C16" s="9" t="s">
        <v>32</v>
      </c>
      <c r="D16" s="9" t="s">
        <v>214</v>
      </c>
      <c r="E16" s="12" t="s">
        <v>57</v>
      </c>
      <c r="F16" s="9" t="s">
        <v>215</v>
      </c>
      <c r="G16" s="11" t="s">
        <v>39</v>
      </c>
      <c r="H16" s="9" t="s">
        <v>216</v>
      </c>
      <c r="I16" s="9" t="s">
        <v>217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8"/>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316.8" x14ac:dyDescent="0.3">
      <c r="A2" s="9">
        <v>1</v>
      </c>
      <c r="B2" s="9" t="s">
        <v>31</v>
      </c>
      <c r="C2" s="13" t="s">
        <v>89</v>
      </c>
      <c r="D2" s="9" t="s">
        <v>218</v>
      </c>
      <c r="E2" s="11" t="s">
        <v>39</v>
      </c>
      <c r="F2" s="9"/>
      <c r="G2" s="11" t="s">
        <v>39</v>
      </c>
      <c r="H2" s="9"/>
      <c r="I2" s="9" t="s">
        <v>219</v>
      </c>
    </row>
    <row r="3" spans="1:9" ht="264" x14ac:dyDescent="0.3">
      <c r="A3" s="9">
        <v>2</v>
      </c>
      <c r="B3" s="9" t="s">
        <v>220</v>
      </c>
      <c r="C3" s="9" t="s">
        <v>32</v>
      </c>
      <c r="D3" s="9" t="s">
        <v>221</v>
      </c>
      <c r="E3" s="11" t="s">
        <v>39</v>
      </c>
      <c r="F3" s="9"/>
      <c r="G3" s="11" t="s">
        <v>39</v>
      </c>
      <c r="H3" s="9"/>
      <c r="I3" s="9" t="s">
        <v>177</v>
      </c>
    </row>
    <row r="4" spans="1:9" ht="277.2" x14ac:dyDescent="0.3">
      <c r="A4" s="9">
        <v>3</v>
      </c>
      <c r="B4" s="9" t="s">
        <v>41</v>
      </c>
      <c r="C4" s="9" t="s">
        <v>32</v>
      </c>
      <c r="D4" s="9" t="s">
        <v>222</v>
      </c>
      <c r="E4" s="11" t="s">
        <v>39</v>
      </c>
      <c r="F4" s="9"/>
      <c r="G4" s="11" t="s">
        <v>39</v>
      </c>
      <c r="H4" s="9"/>
      <c r="I4" s="9" t="s">
        <v>177</v>
      </c>
    </row>
    <row r="5" spans="1:9" ht="290.39999999999998" x14ac:dyDescent="0.3">
      <c r="A5" s="9">
        <v>4</v>
      </c>
      <c r="B5" s="9" t="s">
        <v>44</v>
      </c>
      <c r="C5" s="9" t="s">
        <v>32</v>
      </c>
      <c r="D5" s="9" t="s">
        <v>223</v>
      </c>
      <c r="E5" s="11" t="s">
        <v>39</v>
      </c>
      <c r="F5" s="9"/>
      <c r="G5" s="11" t="s">
        <v>39</v>
      </c>
      <c r="H5" s="9"/>
      <c r="I5" s="9" t="s">
        <v>177</v>
      </c>
    </row>
    <row r="6" spans="1:9" ht="118.8" x14ac:dyDescent="0.3">
      <c r="A6" s="9">
        <v>5</v>
      </c>
      <c r="B6" s="9" t="s">
        <v>47</v>
      </c>
      <c r="C6" s="13" t="s">
        <v>89</v>
      </c>
      <c r="D6" s="9" t="s">
        <v>224</v>
      </c>
      <c r="E6" s="11" t="s">
        <v>39</v>
      </c>
      <c r="F6" s="9"/>
      <c r="G6" s="11" t="s">
        <v>39</v>
      </c>
      <c r="H6" s="9"/>
      <c r="I6" s="9" t="s">
        <v>225</v>
      </c>
    </row>
    <row r="7" spans="1:9" ht="264" x14ac:dyDescent="0.3">
      <c r="A7" s="9">
        <v>6</v>
      </c>
      <c r="B7" s="9" t="s">
        <v>49</v>
      </c>
      <c r="C7" s="9" t="s">
        <v>32</v>
      </c>
      <c r="D7" s="9" t="s">
        <v>226</v>
      </c>
      <c r="E7" s="11" t="s">
        <v>39</v>
      </c>
      <c r="F7" s="9"/>
      <c r="G7" s="11" t="s">
        <v>39</v>
      </c>
      <c r="H7" s="9"/>
      <c r="I7" s="9" t="s">
        <v>227</v>
      </c>
    </row>
    <row r="8" spans="1:9" ht="118.8" x14ac:dyDescent="0.3">
      <c r="A8" s="9">
        <v>7</v>
      </c>
      <c r="B8" s="9" t="s">
        <v>51</v>
      </c>
      <c r="C8" s="13" t="s">
        <v>89</v>
      </c>
      <c r="D8" s="9" t="s">
        <v>228</v>
      </c>
      <c r="E8" s="10" t="s">
        <v>34</v>
      </c>
      <c r="F8" s="9"/>
      <c r="G8" s="10" t="s">
        <v>34</v>
      </c>
      <c r="H8" s="9" t="s">
        <v>229</v>
      </c>
      <c r="I8" s="9" t="s">
        <v>230</v>
      </c>
    </row>
    <row r="9" spans="1:9" ht="290.39999999999998" x14ac:dyDescent="0.3">
      <c r="A9" s="9">
        <v>8</v>
      </c>
      <c r="B9" s="9" t="s">
        <v>55</v>
      </c>
      <c r="C9" s="9" t="s">
        <v>32</v>
      </c>
      <c r="D9" s="9" t="s">
        <v>231</v>
      </c>
      <c r="E9" s="12" t="s">
        <v>57</v>
      </c>
      <c r="F9" s="9" t="s">
        <v>232</v>
      </c>
      <c r="G9" s="11" t="s">
        <v>39</v>
      </c>
      <c r="H9" s="9" t="s">
        <v>233</v>
      </c>
      <c r="I9" s="9" t="s">
        <v>234</v>
      </c>
    </row>
    <row r="10" spans="1:9" ht="92.4" x14ac:dyDescent="0.3">
      <c r="A10" s="9">
        <v>9</v>
      </c>
      <c r="B10" s="9" t="s">
        <v>61</v>
      </c>
      <c r="C10" s="13" t="s">
        <v>89</v>
      </c>
      <c r="D10" s="9" t="s">
        <v>235</v>
      </c>
      <c r="E10" s="11" t="s">
        <v>39</v>
      </c>
      <c r="F10" s="9"/>
      <c r="G10" s="11" t="s">
        <v>39</v>
      </c>
      <c r="H10" s="9"/>
      <c r="I10" s="9" t="s">
        <v>236</v>
      </c>
    </row>
    <row r="11" spans="1:9" ht="66" x14ac:dyDescent="0.3">
      <c r="A11" s="9">
        <v>10</v>
      </c>
      <c r="B11" s="9" t="s">
        <v>68</v>
      </c>
      <c r="C11" s="9" t="s">
        <v>32</v>
      </c>
      <c r="D11" s="9" t="s">
        <v>237</v>
      </c>
      <c r="E11" s="11" t="s">
        <v>39</v>
      </c>
      <c r="F11" s="9"/>
      <c r="G11" s="11" t="s">
        <v>39</v>
      </c>
      <c r="H11" s="9"/>
      <c r="I11" s="9" t="s">
        <v>177</v>
      </c>
    </row>
    <row r="12" spans="1:9" ht="79.2" x14ac:dyDescent="0.3">
      <c r="A12" s="9">
        <v>11</v>
      </c>
      <c r="B12" s="9" t="s">
        <v>72</v>
      </c>
      <c r="C12" s="9" t="s">
        <v>32</v>
      </c>
      <c r="D12" s="9" t="s">
        <v>238</v>
      </c>
      <c r="E12" s="11" t="s">
        <v>39</v>
      </c>
      <c r="F12" s="9"/>
      <c r="G12" s="11" t="s">
        <v>39</v>
      </c>
      <c r="H12" s="9"/>
      <c r="I12" s="9" t="s">
        <v>177</v>
      </c>
    </row>
    <row r="13" spans="1:9" ht="92.4" x14ac:dyDescent="0.3">
      <c r="A13" s="9">
        <v>12</v>
      </c>
      <c r="B13" s="9" t="s">
        <v>74</v>
      </c>
      <c r="C13" s="9" t="s">
        <v>32</v>
      </c>
      <c r="D13" s="9" t="s">
        <v>239</v>
      </c>
      <c r="E13" s="11" t="s">
        <v>39</v>
      </c>
      <c r="F13" s="9"/>
      <c r="G13" s="11" t="s">
        <v>39</v>
      </c>
      <c r="H13" s="9"/>
      <c r="I13" s="9" t="s">
        <v>177</v>
      </c>
    </row>
    <row r="14" spans="1:9" ht="92.4" x14ac:dyDescent="0.3">
      <c r="A14" s="9">
        <v>13</v>
      </c>
      <c r="B14" s="9" t="s">
        <v>76</v>
      </c>
      <c r="C14" s="9" t="s">
        <v>32</v>
      </c>
      <c r="D14" s="9" t="s">
        <v>240</v>
      </c>
      <c r="E14" s="11" t="s">
        <v>39</v>
      </c>
      <c r="F14" s="9"/>
      <c r="G14" s="11" t="s">
        <v>39</v>
      </c>
      <c r="H14" s="9"/>
      <c r="I14" s="9" t="s">
        <v>177</v>
      </c>
    </row>
    <row r="15" spans="1:9" ht="105.6" x14ac:dyDescent="0.3">
      <c r="A15" s="9">
        <v>14</v>
      </c>
      <c r="B15" s="9" t="s">
        <v>78</v>
      </c>
      <c r="C15" s="9" t="s">
        <v>32</v>
      </c>
      <c r="D15" s="9" t="s">
        <v>241</v>
      </c>
      <c r="E15" s="11" t="s">
        <v>39</v>
      </c>
      <c r="F15" s="9"/>
      <c r="G15" s="11" t="s">
        <v>39</v>
      </c>
      <c r="H15" s="9"/>
      <c r="I15" s="9" t="s">
        <v>227</v>
      </c>
    </row>
    <row r="16" spans="1:9" ht="92.4" x14ac:dyDescent="0.3">
      <c r="A16" s="9">
        <v>15</v>
      </c>
      <c r="B16" s="9" t="s">
        <v>80</v>
      </c>
      <c r="C16" s="13" t="s">
        <v>89</v>
      </c>
      <c r="D16" s="9" t="s">
        <v>242</v>
      </c>
      <c r="E16" s="11" t="s">
        <v>39</v>
      </c>
      <c r="F16" s="9"/>
      <c r="G16" s="11" t="s">
        <v>39</v>
      </c>
      <c r="H16" s="9"/>
      <c r="I16" s="9" t="s">
        <v>243</v>
      </c>
    </row>
    <row r="17" spans="1:9" ht="92.4" x14ac:dyDescent="0.3">
      <c r="A17" s="9">
        <v>16</v>
      </c>
      <c r="B17" s="9" t="s">
        <v>86</v>
      </c>
      <c r="C17" s="13" t="s">
        <v>89</v>
      </c>
      <c r="D17" s="9" t="s">
        <v>244</v>
      </c>
      <c r="E17" s="11" t="s">
        <v>39</v>
      </c>
      <c r="F17" s="9"/>
      <c r="G17" s="11" t="s">
        <v>39</v>
      </c>
      <c r="H17" s="9"/>
      <c r="I17" s="9" t="s">
        <v>245</v>
      </c>
    </row>
    <row r="18" spans="1:9" ht="66" x14ac:dyDescent="0.3">
      <c r="A18" s="9">
        <v>17</v>
      </c>
      <c r="B18" s="9" t="s">
        <v>88</v>
      </c>
      <c r="C18" s="13" t="s">
        <v>89</v>
      </c>
      <c r="D18" s="9" t="s">
        <v>246</v>
      </c>
      <c r="E18" s="12" t="s">
        <v>57</v>
      </c>
      <c r="F18" s="9" t="s">
        <v>247</v>
      </c>
      <c r="G18" s="11" t="s">
        <v>39</v>
      </c>
      <c r="H18" s="9" t="s">
        <v>248</v>
      </c>
      <c r="I18" s="9" t="s">
        <v>249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79.2" x14ac:dyDescent="0.3">
      <c r="A2" s="9">
        <v>1</v>
      </c>
      <c r="B2" s="9" t="s">
        <v>31</v>
      </c>
      <c r="C2" s="13" t="s">
        <v>89</v>
      </c>
      <c r="D2" s="9" t="s">
        <v>250</v>
      </c>
      <c r="E2" s="12" t="s">
        <v>57</v>
      </c>
      <c r="F2" s="9" t="s">
        <v>251</v>
      </c>
      <c r="G2" s="10" t="s">
        <v>34</v>
      </c>
      <c r="H2" s="9" t="s">
        <v>252</v>
      </c>
      <c r="I2" s="9" t="s">
        <v>253</v>
      </c>
    </row>
    <row r="3" spans="1:9" ht="369.6" x14ac:dyDescent="0.3">
      <c r="A3" s="9">
        <v>2</v>
      </c>
      <c r="B3" s="9" t="s">
        <v>37</v>
      </c>
      <c r="C3" s="9" t="s">
        <v>32</v>
      </c>
      <c r="D3" s="9" t="s">
        <v>254</v>
      </c>
      <c r="E3" s="12" t="s">
        <v>57</v>
      </c>
      <c r="F3" s="9" t="s">
        <v>255</v>
      </c>
      <c r="G3" s="11" t="s">
        <v>39</v>
      </c>
      <c r="H3" s="9" t="s">
        <v>256</v>
      </c>
      <c r="I3" s="9" t="s">
        <v>257</v>
      </c>
    </row>
    <row r="4" spans="1:9" ht="250.8" x14ac:dyDescent="0.3">
      <c r="A4" s="9">
        <v>3</v>
      </c>
      <c r="B4" s="9" t="s">
        <v>41</v>
      </c>
      <c r="C4" s="9" t="s">
        <v>32</v>
      </c>
      <c r="D4" s="9" t="s">
        <v>258</v>
      </c>
      <c r="E4" s="12" t="s">
        <v>57</v>
      </c>
      <c r="F4" s="9" t="s">
        <v>259</v>
      </c>
      <c r="G4" s="11" t="s">
        <v>39</v>
      </c>
      <c r="H4" s="9" t="s">
        <v>260</v>
      </c>
      <c r="I4" s="9" t="s">
        <v>257</v>
      </c>
    </row>
    <row r="5" spans="1:9" ht="316.8" x14ac:dyDescent="0.3">
      <c r="A5" s="9">
        <v>4</v>
      </c>
      <c r="B5" s="9" t="s">
        <v>44</v>
      </c>
      <c r="C5" s="9" t="s">
        <v>32</v>
      </c>
      <c r="D5" s="9" t="s">
        <v>261</v>
      </c>
      <c r="E5" s="12" t="s">
        <v>57</v>
      </c>
      <c r="F5" s="9" t="s">
        <v>262</v>
      </c>
      <c r="G5" s="11" t="s">
        <v>39</v>
      </c>
      <c r="H5" s="9" t="s">
        <v>260</v>
      </c>
      <c r="I5" s="9" t="s">
        <v>177</v>
      </c>
    </row>
    <row r="6" spans="1:9" ht="145.19999999999999" x14ac:dyDescent="0.3">
      <c r="A6" s="9">
        <v>5</v>
      </c>
      <c r="B6" s="9" t="s">
        <v>47</v>
      </c>
      <c r="C6" s="9" t="s">
        <v>32</v>
      </c>
      <c r="D6" s="9" t="s">
        <v>263</v>
      </c>
      <c r="E6" s="12" t="s">
        <v>57</v>
      </c>
      <c r="F6" s="9" t="s">
        <v>264</v>
      </c>
      <c r="G6" s="11" t="s">
        <v>39</v>
      </c>
      <c r="H6" s="9" t="s">
        <v>260</v>
      </c>
      <c r="I6" s="9" t="s">
        <v>177</v>
      </c>
    </row>
    <row r="7" spans="1:9" ht="250.8" x14ac:dyDescent="0.3">
      <c r="A7" s="9">
        <v>6</v>
      </c>
      <c r="B7" s="9" t="s">
        <v>49</v>
      </c>
      <c r="C7" s="9" t="s">
        <v>32</v>
      </c>
      <c r="D7" s="9" t="s">
        <v>265</v>
      </c>
      <c r="E7" s="12" t="s">
        <v>57</v>
      </c>
      <c r="F7" s="9" t="s">
        <v>266</v>
      </c>
      <c r="G7" s="11" t="s">
        <v>39</v>
      </c>
      <c r="H7" s="9" t="s">
        <v>267</v>
      </c>
      <c r="I7" s="9" t="s">
        <v>268</v>
      </c>
    </row>
    <row r="8" spans="1:9" ht="132" x14ac:dyDescent="0.3">
      <c r="A8" s="9">
        <v>7</v>
      </c>
      <c r="B8" s="9" t="s">
        <v>51</v>
      </c>
      <c r="C8" s="13" t="s">
        <v>89</v>
      </c>
      <c r="D8" s="9" t="s">
        <v>269</v>
      </c>
      <c r="E8" s="12" t="s">
        <v>57</v>
      </c>
      <c r="F8" s="9" t="s">
        <v>270</v>
      </c>
      <c r="G8" s="10" t="s">
        <v>34</v>
      </c>
      <c r="H8" s="9" t="s">
        <v>271</v>
      </c>
      <c r="I8" s="9" t="s">
        <v>272</v>
      </c>
    </row>
    <row r="9" spans="1:9" ht="184.8" x14ac:dyDescent="0.3">
      <c r="A9" s="9">
        <v>8</v>
      </c>
      <c r="B9" s="9" t="s">
        <v>55</v>
      </c>
      <c r="C9" s="13" t="s">
        <v>89</v>
      </c>
      <c r="D9" s="9" t="s">
        <v>273</v>
      </c>
      <c r="E9" s="10" t="s">
        <v>34</v>
      </c>
      <c r="F9" s="9" t="s">
        <v>274</v>
      </c>
      <c r="G9" s="11" t="s">
        <v>39</v>
      </c>
      <c r="H9" s="9" t="s">
        <v>275</v>
      </c>
      <c r="I9" s="9" t="s">
        <v>276</v>
      </c>
    </row>
    <row r="10" spans="1:9" ht="105.6" x14ac:dyDescent="0.3">
      <c r="A10" s="9">
        <v>9</v>
      </c>
      <c r="B10" s="9" t="s">
        <v>61</v>
      </c>
      <c r="C10" s="9" t="s">
        <v>32</v>
      </c>
      <c r="D10" s="9" t="s">
        <v>277</v>
      </c>
      <c r="E10" s="12" t="s">
        <v>57</v>
      </c>
      <c r="F10" s="9" t="s">
        <v>278</v>
      </c>
      <c r="G10" s="10" t="s">
        <v>34</v>
      </c>
      <c r="H10" s="9" t="s">
        <v>279</v>
      </c>
      <c r="I10" s="9" t="s">
        <v>177</v>
      </c>
    </row>
    <row r="11" spans="1:9" ht="92.4" x14ac:dyDescent="0.3">
      <c r="A11" s="9">
        <v>10</v>
      </c>
      <c r="B11" s="9" t="s">
        <v>68</v>
      </c>
      <c r="C11" s="9" t="s">
        <v>32</v>
      </c>
      <c r="D11" s="9" t="s">
        <v>280</v>
      </c>
      <c r="E11" s="12" t="s">
        <v>57</v>
      </c>
      <c r="F11" s="9" t="s">
        <v>281</v>
      </c>
      <c r="G11" s="11" t="s">
        <v>39</v>
      </c>
      <c r="H11" s="9" t="s">
        <v>260</v>
      </c>
      <c r="I11" s="9" t="s">
        <v>177</v>
      </c>
    </row>
    <row r="12" spans="1:9" ht="92.4" x14ac:dyDescent="0.3">
      <c r="A12" s="9">
        <v>11</v>
      </c>
      <c r="B12" s="9" t="s">
        <v>72</v>
      </c>
      <c r="C12" s="9" t="s">
        <v>32</v>
      </c>
      <c r="D12" s="9" t="s">
        <v>282</v>
      </c>
      <c r="E12" s="12" t="s">
        <v>57</v>
      </c>
      <c r="F12" s="9" t="s">
        <v>283</v>
      </c>
      <c r="G12" s="11" t="s">
        <v>39</v>
      </c>
      <c r="H12" s="9" t="s">
        <v>260</v>
      </c>
      <c r="I12" s="9" t="s">
        <v>177</v>
      </c>
    </row>
    <row r="13" spans="1:9" ht="92.4" x14ac:dyDescent="0.3">
      <c r="A13" s="9">
        <v>12</v>
      </c>
      <c r="B13" s="9" t="s">
        <v>74</v>
      </c>
      <c r="C13" s="9" t="s">
        <v>32</v>
      </c>
      <c r="D13" s="9" t="s">
        <v>284</v>
      </c>
      <c r="E13" s="12" t="s">
        <v>57</v>
      </c>
      <c r="F13" s="9" t="s">
        <v>285</v>
      </c>
      <c r="G13" s="11" t="s">
        <v>39</v>
      </c>
      <c r="H13" s="9" t="s">
        <v>260</v>
      </c>
      <c r="I13" s="9" t="s">
        <v>268</v>
      </c>
    </row>
    <row r="14" spans="1:9" ht="79.2" x14ac:dyDescent="0.3">
      <c r="A14" s="9">
        <v>13</v>
      </c>
      <c r="B14" s="9" t="s">
        <v>76</v>
      </c>
      <c r="C14" s="9" t="s">
        <v>32</v>
      </c>
      <c r="D14" s="9" t="s">
        <v>286</v>
      </c>
      <c r="E14" s="12" t="s">
        <v>57</v>
      </c>
      <c r="F14" s="9" t="s">
        <v>287</v>
      </c>
      <c r="G14" s="11" t="s">
        <v>39</v>
      </c>
      <c r="H14" s="9" t="s">
        <v>260</v>
      </c>
      <c r="I14" s="9" t="s">
        <v>177</v>
      </c>
    </row>
    <row r="15" spans="1:9" ht="92.4" x14ac:dyDescent="0.3">
      <c r="A15" s="9">
        <v>14</v>
      </c>
      <c r="B15" s="9" t="s">
        <v>78</v>
      </c>
      <c r="C15" s="9" t="s">
        <v>32</v>
      </c>
      <c r="D15" s="9" t="s">
        <v>288</v>
      </c>
      <c r="E15" s="12" t="s">
        <v>57</v>
      </c>
      <c r="F15" s="9" t="s">
        <v>289</v>
      </c>
      <c r="G15" s="11" t="s">
        <v>39</v>
      </c>
      <c r="H15" s="9" t="s">
        <v>260</v>
      </c>
      <c r="I15" s="9" t="s">
        <v>177</v>
      </c>
    </row>
    <row r="16" spans="1:9" ht="66" x14ac:dyDescent="0.3">
      <c r="A16" s="9">
        <v>15</v>
      </c>
      <c r="B16" s="9" t="s">
        <v>80</v>
      </c>
      <c r="C16" s="13" t="s">
        <v>89</v>
      </c>
      <c r="D16" s="9" t="s">
        <v>290</v>
      </c>
      <c r="E16" s="11" t="s">
        <v>39</v>
      </c>
      <c r="F16" s="9" t="s">
        <v>291</v>
      </c>
      <c r="G16" s="11" t="s">
        <v>39</v>
      </c>
      <c r="H16" s="9" t="s">
        <v>292</v>
      </c>
      <c r="I16" s="9" t="s">
        <v>293</v>
      </c>
    </row>
    <row r="17" spans="1:9" ht="105.6" x14ac:dyDescent="0.3">
      <c r="A17" s="9">
        <v>16</v>
      </c>
      <c r="B17" s="9" t="s">
        <v>86</v>
      </c>
      <c r="C17" s="9" t="s">
        <v>32</v>
      </c>
      <c r="D17" s="9" t="s">
        <v>294</v>
      </c>
      <c r="E17" s="12" t="s">
        <v>57</v>
      </c>
      <c r="F17" s="9" t="s">
        <v>295</v>
      </c>
      <c r="G17" s="11" t="s">
        <v>39</v>
      </c>
      <c r="H17" s="9" t="s">
        <v>296</v>
      </c>
      <c r="I17" s="9" t="s">
        <v>177</v>
      </c>
    </row>
    <row r="18" spans="1:9" ht="79.2" x14ac:dyDescent="0.3">
      <c r="A18" s="9">
        <v>17</v>
      </c>
      <c r="B18" s="9" t="s">
        <v>88</v>
      </c>
      <c r="C18" s="13" t="s">
        <v>89</v>
      </c>
      <c r="D18" s="9" t="s">
        <v>297</v>
      </c>
      <c r="E18" s="12" t="s">
        <v>57</v>
      </c>
      <c r="F18" s="9" t="s">
        <v>298</v>
      </c>
      <c r="G18" s="11" t="s">
        <v>39</v>
      </c>
      <c r="H18" s="9" t="s">
        <v>299</v>
      </c>
      <c r="I18" s="9" t="s">
        <v>249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2"/>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79.2" x14ac:dyDescent="0.3">
      <c r="A2" s="9">
        <v>1</v>
      </c>
      <c r="B2" s="9" t="s">
        <v>31</v>
      </c>
      <c r="C2" s="13" t="s">
        <v>89</v>
      </c>
      <c r="D2" s="9" t="s">
        <v>300</v>
      </c>
      <c r="E2" s="10" t="s">
        <v>34</v>
      </c>
      <c r="F2" s="9" t="s">
        <v>301</v>
      </c>
      <c r="G2" s="10" t="s">
        <v>34</v>
      </c>
      <c r="H2" s="9" t="s">
        <v>302</v>
      </c>
      <c r="I2" s="9" t="s">
        <v>303</v>
      </c>
    </row>
    <row r="3" spans="1:9" ht="66" x14ac:dyDescent="0.3">
      <c r="A3" s="9">
        <v>2</v>
      </c>
      <c r="B3" s="9" t="s">
        <v>49</v>
      </c>
      <c r="C3" s="9" t="s">
        <v>32</v>
      </c>
      <c r="D3" s="9" t="s">
        <v>304</v>
      </c>
      <c r="E3" s="11" t="s">
        <v>39</v>
      </c>
      <c r="F3" s="9"/>
      <c r="G3" s="11" t="s">
        <v>39</v>
      </c>
      <c r="H3" s="9"/>
      <c r="I3" s="9" t="s">
        <v>305</v>
      </c>
    </row>
    <row r="4" spans="1:9" ht="66" x14ac:dyDescent="0.3">
      <c r="A4" s="9">
        <v>3</v>
      </c>
      <c r="B4" s="9" t="s">
        <v>51</v>
      </c>
      <c r="C4" s="13" t="s">
        <v>89</v>
      </c>
      <c r="D4" s="9" t="s">
        <v>306</v>
      </c>
      <c r="E4" s="12" t="s">
        <v>57</v>
      </c>
      <c r="F4" s="9" t="s">
        <v>307</v>
      </c>
      <c r="G4" s="10" t="s">
        <v>34</v>
      </c>
      <c r="H4" s="9" t="s">
        <v>308</v>
      </c>
      <c r="I4" s="9" t="s">
        <v>309</v>
      </c>
    </row>
    <row r="5" spans="1:9" ht="105.6" x14ac:dyDescent="0.3">
      <c r="A5" s="9">
        <v>4</v>
      </c>
      <c r="B5" s="9" t="s">
        <v>55</v>
      </c>
      <c r="C5" s="13" t="s">
        <v>89</v>
      </c>
      <c r="D5" s="9" t="s">
        <v>310</v>
      </c>
      <c r="E5" s="11" t="s">
        <v>39</v>
      </c>
      <c r="F5" s="9"/>
      <c r="G5" s="11" t="s">
        <v>39</v>
      </c>
      <c r="H5" s="9" t="s">
        <v>311</v>
      </c>
      <c r="I5" s="9" t="s">
        <v>303</v>
      </c>
    </row>
    <row r="6" spans="1:9" ht="52.8" x14ac:dyDescent="0.3">
      <c r="A6" s="9">
        <v>5</v>
      </c>
      <c r="B6" s="9" t="s">
        <v>61</v>
      </c>
      <c r="C6" s="9" t="s">
        <v>32</v>
      </c>
      <c r="D6" s="9" t="s">
        <v>312</v>
      </c>
      <c r="E6" s="10" t="s">
        <v>34</v>
      </c>
      <c r="F6" s="9"/>
      <c r="G6" s="10" t="s">
        <v>34</v>
      </c>
      <c r="H6" s="9" t="s">
        <v>313</v>
      </c>
      <c r="I6" s="9" t="s">
        <v>314</v>
      </c>
    </row>
    <row r="7" spans="1:9" ht="52.8" x14ac:dyDescent="0.3">
      <c r="A7" s="9">
        <v>6</v>
      </c>
      <c r="B7" s="9" t="s">
        <v>68</v>
      </c>
      <c r="C7" s="9" t="s">
        <v>32</v>
      </c>
      <c r="D7" s="9" t="s">
        <v>315</v>
      </c>
      <c r="E7" s="10" t="s">
        <v>34</v>
      </c>
      <c r="F7" s="9"/>
      <c r="G7" s="10" t="s">
        <v>34</v>
      </c>
      <c r="H7" s="9" t="s">
        <v>316</v>
      </c>
      <c r="I7" s="9" t="s">
        <v>305</v>
      </c>
    </row>
    <row r="8" spans="1:9" ht="52.8" x14ac:dyDescent="0.3">
      <c r="A8" s="9">
        <v>7</v>
      </c>
      <c r="B8" s="9" t="s">
        <v>74</v>
      </c>
      <c r="C8" s="9" t="s">
        <v>32</v>
      </c>
      <c r="D8" s="9" t="s">
        <v>317</v>
      </c>
      <c r="E8" s="10" t="s">
        <v>34</v>
      </c>
      <c r="F8" s="9"/>
      <c r="G8" s="10" t="s">
        <v>34</v>
      </c>
      <c r="H8" s="9" t="s">
        <v>316</v>
      </c>
      <c r="I8" s="9" t="s">
        <v>305</v>
      </c>
    </row>
    <row r="9" spans="1:9" ht="66" x14ac:dyDescent="0.3">
      <c r="A9" s="9">
        <v>8</v>
      </c>
      <c r="B9" s="9" t="s">
        <v>76</v>
      </c>
      <c r="C9" s="9" t="s">
        <v>32</v>
      </c>
      <c r="D9" s="9" t="s">
        <v>318</v>
      </c>
      <c r="E9" s="10" t="s">
        <v>34</v>
      </c>
      <c r="F9" s="9"/>
      <c r="G9" s="10" t="s">
        <v>34</v>
      </c>
      <c r="H9" s="9" t="s">
        <v>316</v>
      </c>
      <c r="I9" s="9" t="s">
        <v>305</v>
      </c>
    </row>
    <row r="10" spans="1:9" ht="66" x14ac:dyDescent="0.3">
      <c r="A10" s="9">
        <v>9</v>
      </c>
      <c r="B10" s="9" t="s">
        <v>78</v>
      </c>
      <c r="C10" s="9" t="s">
        <v>32</v>
      </c>
      <c r="D10" s="9" t="s">
        <v>319</v>
      </c>
      <c r="E10" s="10" t="s">
        <v>34</v>
      </c>
      <c r="F10" s="9"/>
      <c r="G10" s="10" t="s">
        <v>34</v>
      </c>
      <c r="H10" s="9" t="s">
        <v>316</v>
      </c>
      <c r="I10" s="9" t="s">
        <v>305</v>
      </c>
    </row>
    <row r="11" spans="1:9" ht="66" x14ac:dyDescent="0.3">
      <c r="A11" s="9">
        <v>10</v>
      </c>
      <c r="B11" s="9" t="s">
        <v>86</v>
      </c>
      <c r="C11" s="9" t="s">
        <v>32</v>
      </c>
      <c r="D11" s="9" t="s">
        <v>320</v>
      </c>
      <c r="E11" s="11" t="s">
        <v>39</v>
      </c>
      <c r="F11" s="9"/>
      <c r="G11" s="11" t="s">
        <v>39</v>
      </c>
      <c r="H11" s="9"/>
      <c r="I11" s="9" t="s">
        <v>305</v>
      </c>
    </row>
    <row r="12" spans="1:9" ht="66" x14ac:dyDescent="0.3">
      <c r="A12" s="9">
        <v>11</v>
      </c>
      <c r="B12" s="9" t="s">
        <v>88</v>
      </c>
      <c r="C12" s="13" t="s">
        <v>89</v>
      </c>
      <c r="D12" s="9" t="s">
        <v>321</v>
      </c>
      <c r="E12" s="12" t="s">
        <v>57</v>
      </c>
      <c r="F12" s="9" t="s">
        <v>322</v>
      </c>
      <c r="G12" s="11" t="s">
        <v>39</v>
      </c>
      <c r="H12" s="9" t="s">
        <v>323</v>
      </c>
      <c r="I12" s="9" t="s">
        <v>324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8"/>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92.4" x14ac:dyDescent="0.3">
      <c r="A2" s="9">
        <v>1</v>
      </c>
      <c r="B2" s="9" t="s">
        <v>31</v>
      </c>
      <c r="C2" s="13" t="s">
        <v>89</v>
      </c>
      <c r="D2" s="9" t="s">
        <v>325</v>
      </c>
      <c r="E2" s="10" t="s">
        <v>34</v>
      </c>
      <c r="F2" s="9" t="s">
        <v>326</v>
      </c>
      <c r="G2" s="12" t="s">
        <v>57</v>
      </c>
      <c r="H2" s="9" t="s">
        <v>327</v>
      </c>
      <c r="I2" s="9" t="s">
        <v>328</v>
      </c>
    </row>
    <row r="3" spans="1:9" ht="369.6" x14ac:dyDescent="0.3">
      <c r="A3" s="9">
        <v>2</v>
      </c>
      <c r="B3" s="9" t="s">
        <v>37</v>
      </c>
      <c r="C3" s="9" t="s">
        <v>32</v>
      </c>
      <c r="D3" s="9" t="s">
        <v>329</v>
      </c>
      <c r="E3" s="11" t="s">
        <v>39</v>
      </c>
      <c r="F3" s="9"/>
      <c r="G3" s="11" t="s">
        <v>39</v>
      </c>
      <c r="H3" s="9"/>
      <c r="I3" s="9" t="s">
        <v>177</v>
      </c>
    </row>
    <row r="4" spans="1:9" ht="184.8" x14ac:dyDescent="0.3">
      <c r="A4" s="9">
        <v>3</v>
      </c>
      <c r="B4" s="9" t="s">
        <v>41</v>
      </c>
      <c r="C4" s="13" t="s">
        <v>89</v>
      </c>
      <c r="D4" s="9" t="s">
        <v>330</v>
      </c>
      <c r="E4" s="11" t="s">
        <v>39</v>
      </c>
      <c r="F4" s="9"/>
      <c r="G4" s="11" t="s">
        <v>39</v>
      </c>
      <c r="H4" s="9"/>
      <c r="I4" s="9" t="s">
        <v>331</v>
      </c>
    </row>
    <row r="5" spans="1:9" ht="198" x14ac:dyDescent="0.3">
      <c r="A5" s="9">
        <v>4</v>
      </c>
      <c r="B5" s="9" t="s">
        <v>44</v>
      </c>
      <c r="C5" s="9" t="s">
        <v>32</v>
      </c>
      <c r="D5" s="9" t="s">
        <v>332</v>
      </c>
      <c r="E5" s="11" t="s">
        <v>39</v>
      </c>
      <c r="F5" s="9"/>
      <c r="G5" s="11" t="s">
        <v>39</v>
      </c>
      <c r="H5" s="9"/>
      <c r="I5" s="9" t="s">
        <v>227</v>
      </c>
    </row>
    <row r="6" spans="1:9" ht="237.6" x14ac:dyDescent="0.3">
      <c r="A6" s="9">
        <v>5</v>
      </c>
      <c r="B6" s="9" t="s">
        <v>49</v>
      </c>
      <c r="C6" s="9" t="s">
        <v>32</v>
      </c>
      <c r="D6" s="9" t="s">
        <v>333</v>
      </c>
      <c r="E6" s="11" t="s">
        <v>39</v>
      </c>
      <c r="F6" s="9"/>
      <c r="G6" s="11" t="s">
        <v>39</v>
      </c>
      <c r="H6" s="9"/>
      <c r="I6" s="9" t="s">
        <v>177</v>
      </c>
    </row>
    <row r="7" spans="1:9" ht="118.8" x14ac:dyDescent="0.3">
      <c r="A7" s="9">
        <v>6</v>
      </c>
      <c r="B7" s="9" t="s">
        <v>51</v>
      </c>
      <c r="C7" s="13" t="s">
        <v>89</v>
      </c>
      <c r="D7" s="9" t="s">
        <v>334</v>
      </c>
      <c r="E7" s="12" t="s">
        <v>57</v>
      </c>
      <c r="F7" s="9" t="s">
        <v>335</v>
      </c>
      <c r="G7" s="11" t="s">
        <v>39</v>
      </c>
      <c r="H7" s="9" t="s">
        <v>336</v>
      </c>
      <c r="I7" s="9" t="s">
        <v>337</v>
      </c>
    </row>
    <row r="8" spans="1:9" ht="79.2" x14ac:dyDescent="0.3">
      <c r="A8" s="9">
        <v>7</v>
      </c>
      <c r="B8" s="9" t="s">
        <v>55</v>
      </c>
      <c r="C8" s="13" t="s">
        <v>89</v>
      </c>
      <c r="D8" s="9" t="s">
        <v>338</v>
      </c>
      <c r="E8" s="11" t="s">
        <v>39</v>
      </c>
      <c r="F8" s="9"/>
      <c r="G8" s="11" t="s">
        <v>39</v>
      </c>
      <c r="H8" s="9" t="s">
        <v>339</v>
      </c>
      <c r="I8" s="9" t="s">
        <v>340</v>
      </c>
    </row>
    <row r="9" spans="1:9" ht="79.2" x14ac:dyDescent="0.3">
      <c r="A9" s="9">
        <v>8</v>
      </c>
      <c r="B9" s="9" t="s">
        <v>61</v>
      </c>
      <c r="C9" s="9" t="s">
        <v>32</v>
      </c>
      <c r="D9" s="9" t="s">
        <v>341</v>
      </c>
      <c r="E9" s="12" t="s">
        <v>57</v>
      </c>
      <c r="F9" s="9" t="s">
        <v>342</v>
      </c>
      <c r="G9" s="12" t="s">
        <v>57</v>
      </c>
      <c r="H9" s="9" t="s">
        <v>343</v>
      </c>
      <c r="I9" s="9" t="s">
        <v>177</v>
      </c>
    </row>
    <row r="10" spans="1:9" ht="409.2" x14ac:dyDescent="0.3">
      <c r="A10" s="9">
        <v>9</v>
      </c>
      <c r="B10" s="9" t="s">
        <v>64</v>
      </c>
      <c r="C10" s="9" t="s">
        <v>32</v>
      </c>
      <c r="D10" s="9" t="s">
        <v>344</v>
      </c>
      <c r="E10" s="11" t="s">
        <v>39</v>
      </c>
      <c r="F10" s="9"/>
      <c r="G10" s="11" t="s">
        <v>39</v>
      </c>
      <c r="H10" s="9"/>
      <c r="I10" s="9" t="s">
        <v>345</v>
      </c>
    </row>
    <row r="11" spans="1:9" ht="105.6" x14ac:dyDescent="0.3">
      <c r="A11" s="9">
        <v>10</v>
      </c>
      <c r="B11" s="9" t="s">
        <v>68</v>
      </c>
      <c r="C11" s="9" t="s">
        <v>32</v>
      </c>
      <c r="D11" s="9" t="s">
        <v>346</v>
      </c>
      <c r="E11" s="11" t="s">
        <v>39</v>
      </c>
      <c r="F11" s="9"/>
      <c r="G11" s="11" t="s">
        <v>39</v>
      </c>
      <c r="H11" s="9"/>
      <c r="I11" s="9" t="s">
        <v>345</v>
      </c>
    </row>
    <row r="12" spans="1:9" ht="105.6" x14ac:dyDescent="0.3">
      <c r="A12" s="9">
        <v>11</v>
      </c>
      <c r="B12" s="9" t="s">
        <v>72</v>
      </c>
      <c r="C12" s="9" t="s">
        <v>32</v>
      </c>
      <c r="D12" s="9" t="s">
        <v>347</v>
      </c>
      <c r="E12" s="11" t="s">
        <v>39</v>
      </c>
      <c r="F12" s="9"/>
      <c r="G12" s="11" t="s">
        <v>39</v>
      </c>
      <c r="H12" s="9"/>
      <c r="I12" s="9" t="s">
        <v>345</v>
      </c>
    </row>
    <row r="13" spans="1:9" ht="92.4" x14ac:dyDescent="0.3">
      <c r="A13" s="9">
        <v>12</v>
      </c>
      <c r="B13" s="9" t="s">
        <v>74</v>
      </c>
      <c r="C13" s="9" t="s">
        <v>32</v>
      </c>
      <c r="D13" s="9" t="s">
        <v>348</v>
      </c>
      <c r="E13" s="11" t="s">
        <v>39</v>
      </c>
      <c r="F13" s="9"/>
      <c r="G13" s="11" t="s">
        <v>39</v>
      </c>
      <c r="H13" s="9"/>
      <c r="I13" s="9" t="s">
        <v>345</v>
      </c>
    </row>
    <row r="14" spans="1:9" ht="79.2" x14ac:dyDescent="0.3">
      <c r="A14" s="9">
        <v>13</v>
      </c>
      <c r="B14" s="9" t="s">
        <v>76</v>
      </c>
      <c r="C14" s="9" t="s">
        <v>32</v>
      </c>
      <c r="D14" s="9" t="s">
        <v>349</v>
      </c>
      <c r="E14" s="11" t="s">
        <v>39</v>
      </c>
      <c r="F14" s="9"/>
      <c r="G14" s="11" t="s">
        <v>39</v>
      </c>
      <c r="H14" s="9"/>
      <c r="I14" s="9" t="s">
        <v>345</v>
      </c>
    </row>
    <row r="15" spans="1:9" ht="92.4" x14ac:dyDescent="0.3">
      <c r="A15" s="9">
        <v>14</v>
      </c>
      <c r="B15" s="9" t="s">
        <v>78</v>
      </c>
      <c r="C15" s="9" t="s">
        <v>32</v>
      </c>
      <c r="D15" s="9" t="s">
        <v>350</v>
      </c>
      <c r="E15" s="11" t="s">
        <v>39</v>
      </c>
      <c r="F15" s="9"/>
      <c r="G15" s="11" t="s">
        <v>39</v>
      </c>
      <c r="H15" s="9"/>
      <c r="I15" s="9" t="s">
        <v>345</v>
      </c>
    </row>
    <row r="16" spans="1:9" ht="92.4" x14ac:dyDescent="0.3">
      <c r="A16" s="9">
        <v>15</v>
      </c>
      <c r="B16" s="9" t="s">
        <v>80</v>
      </c>
      <c r="C16" s="13" t="s">
        <v>89</v>
      </c>
      <c r="D16" s="9" t="s">
        <v>351</v>
      </c>
      <c r="E16" s="12" t="s">
        <v>57</v>
      </c>
      <c r="F16" s="9" t="s">
        <v>352</v>
      </c>
      <c r="G16" s="11" t="s">
        <v>39</v>
      </c>
      <c r="H16" s="9" t="s">
        <v>353</v>
      </c>
      <c r="I16" s="9" t="s">
        <v>354</v>
      </c>
    </row>
    <row r="17" spans="1:9" ht="92.4" x14ac:dyDescent="0.3">
      <c r="A17" s="9">
        <v>16</v>
      </c>
      <c r="B17" s="9" t="s">
        <v>86</v>
      </c>
      <c r="C17" s="9" t="s">
        <v>32</v>
      </c>
      <c r="D17" s="9" t="s">
        <v>355</v>
      </c>
      <c r="E17" s="11" t="s">
        <v>39</v>
      </c>
      <c r="F17" s="9"/>
      <c r="G17" s="11" t="s">
        <v>39</v>
      </c>
      <c r="H17" s="9"/>
      <c r="I17" s="9" t="s">
        <v>345</v>
      </c>
    </row>
    <row r="18" spans="1:9" ht="79.2" x14ac:dyDescent="0.3">
      <c r="A18" s="9">
        <v>17</v>
      </c>
      <c r="B18" s="9" t="s">
        <v>88</v>
      </c>
      <c r="C18" s="13" t="s">
        <v>89</v>
      </c>
      <c r="D18" s="9" t="s">
        <v>356</v>
      </c>
      <c r="E18" s="12" t="s">
        <v>57</v>
      </c>
      <c r="F18" s="9" t="s">
        <v>357</v>
      </c>
      <c r="G18" s="11" t="s">
        <v>39</v>
      </c>
      <c r="H18" s="9" t="s">
        <v>299</v>
      </c>
      <c r="I18" s="9" t="s">
        <v>358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52.8" x14ac:dyDescent="0.3">
      <c r="A2" s="9">
        <v>1</v>
      </c>
      <c r="B2" s="9" t="s">
        <v>31</v>
      </c>
      <c r="C2" s="13" t="s">
        <v>89</v>
      </c>
      <c r="D2" s="9" t="s">
        <v>359</v>
      </c>
      <c r="E2" s="12" t="s">
        <v>57</v>
      </c>
      <c r="F2" s="9" t="s">
        <v>360</v>
      </c>
      <c r="G2" s="12" t="s">
        <v>57</v>
      </c>
      <c r="H2" s="9" t="s">
        <v>361</v>
      </c>
      <c r="I2" s="9" t="s">
        <v>362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9"/>
  <sheetViews>
    <sheetView workbookViewId="0">
      <pane ySplit="1" topLeftCell="A2" activePane="bottomLeft" state="frozen"/>
      <selection pane="bottomLeft"/>
    </sheetView>
  </sheetViews>
  <sheetFormatPr defaultRowHeight="14.4" x14ac:dyDescent="0.3"/>
  <cols>
    <col min="1" max="1" width="4" customWidth="1"/>
    <col min="2" max="2" width="38" customWidth="1"/>
    <col min="3" max="3" width="12" customWidth="1"/>
    <col min="4" max="4" width="55" customWidth="1"/>
    <col min="5" max="5" width="12" customWidth="1"/>
    <col min="6" max="6" width="55" customWidth="1"/>
    <col min="7" max="7" width="12" customWidth="1"/>
    <col min="8" max="8" width="40" customWidth="1"/>
    <col min="9" max="9" width="55" customWidth="1"/>
  </cols>
  <sheetData>
    <row r="1" spans="1:9" ht="26.4" x14ac:dyDescent="0.3">
      <c r="A1" s="2" t="s">
        <v>22</v>
      </c>
      <c r="B1" s="2" t="s">
        <v>23</v>
      </c>
      <c r="C1" s="2" t="s">
        <v>24</v>
      </c>
      <c r="D1" s="2" t="s">
        <v>25</v>
      </c>
      <c r="E1" s="2" t="s">
        <v>26</v>
      </c>
      <c r="F1" s="2" t="s">
        <v>27</v>
      </c>
      <c r="G1" s="2" t="s">
        <v>28</v>
      </c>
      <c r="H1" s="2" t="s">
        <v>29</v>
      </c>
      <c r="I1" s="2" t="s">
        <v>30</v>
      </c>
    </row>
    <row r="2" spans="1:9" ht="52.8" x14ac:dyDescent="0.3">
      <c r="A2" s="9">
        <v>1</v>
      </c>
      <c r="B2" s="9" t="s">
        <v>31</v>
      </c>
      <c r="C2" s="13" t="s">
        <v>89</v>
      </c>
      <c r="D2" s="9" t="s">
        <v>363</v>
      </c>
      <c r="E2" s="10" t="s">
        <v>34</v>
      </c>
      <c r="F2" s="9"/>
      <c r="G2" s="10" t="s">
        <v>34</v>
      </c>
      <c r="H2" s="9" t="s">
        <v>364</v>
      </c>
      <c r="I2" s="9" t="s">
        <v>365</v>
      </c>
    </row>
    <row r="3" spans="1:9" ht="105.6" x14ac:dyDescent="0.3">
      <c r="A3" s="9">
        <v>2</v>
      </c>
      <c r="B3" s="9" t="s">
        <v>37</v>
      </c>
      <c r="C3" s="9" t="s">
        <v>32</v>
      </c>
      <c r="D3" s="9" t="s">
        <v>366</v>
      </c>
      <c r="E3" s="11" t="s">
        <v>39</v>
      </c>
      <c r="F3" s="9"/>
      <c r="G3" s="11" t="s">
        <v>39</v>
      </c>
      <c r="H3" s="9"/>
      <c r="I3" s="9" t="s">
        <v>367</v>
      </c>
    </row>
    <row r="4" spans="1:9" ht="171.6" x14ac:dyDescent="0.3">
      <c r="A4" s="9">
        <v>3</v>
      </c>
      <c r="B4" s="9" t="s">
        <v>41</v>
      </c>
      <c r="C4" s="9" t="s">
        <v>32</v>
      </c>
      <c r="D4" s="9" t="s">
        <v>368</v>
      </c>
      <c r="E4" s="11" t="s">
        <v>39</v>
      </c>
      <c r="F4" s="9"/>
      <c r="G4" s="11" t="s">
        <v>39</v>
      </c>
      <c r="H4" s="9"/>
      <c r="I4" s="9" t="s">
        <v>369</v>
      </c>
    </row>
    <row r="5" spans="1:9" ht="171.6" x14ac:dyDescent="0.3">
      <c r="A5" s="9">
        <v>4</v>
      </c>
      <c r="B5" s="9" t="s">
        <v>44</v>
      </c>
      <c r="C5" s="9" t="s">
        <v>32</v>
      </c>
      <c r="D5" s="9" t="s">
        <v>370</v>
      </c>
      <c r="E5" s="11" t="s">
        <v>39</v>
      </c>
      <c r="F5" s="9"/>
      <c r="G5" s="11" t="s">
        <v>39</v>
      </c>
      <c r="H5" s="9"/>
      <c r="I5" s="9" t="s">
        <v>371</v>
      </c>
    </row>
    <row r="6" spans="1:9" ht="105.6" x14ac:dyDescent="0.3">
      <c r="A6" s="9">
        <v>5</v>
      </c>
      <c r="B6" s="9" t="s">
        <v>47</v>
      </c>
      <c r="C6" s="9" t="s">
        <v>32</v>
      </c>
      <c r="D6" s="9" t="s">
        <v>372</v>
      </c>
      <c r="E6" s="12" t="s">
        <v>57</v>
      </c>
      <c r="F6" s="9" t="s">
        <v>373</v>
      </c>
      <c r="G6" s="12" t="s">
        <v>57</v>
      </c>
      <c r="H6" s="9" t="s">
        <v>374</v>
      </c>
      <c r="I6" s="9" t="s">
        <v>375</v>
      </c>
    </row>
    <row r="7" spans="1:9" ht="250.8" x14ac:dyDescent="0.3">
      <c r="A7" s="9">
        <v>6</v>
      </c>
      <c r="B7" s="9" t="s">
        <v>49</v>
      </c>
      <c r="C7" s="9" t="s">
        <v>32</v>
      </c>
      <c r="D7" s="9" t="s">
        <v>376</v>
      </c>
      <c r="E7" s="10" t="s">
        <v>34</v>
      </c>
      <c r="F7" s="9"/>
      <c r="G7" s="10" t="s">
        <v>34</v>
      </c>
      <c r="H7" s="9" t="s">
        <v>377</v>
      </c>
      <c r="I7" s="9" t="s">
        <v>378</v>
      </c>
    </row>
    <row r="8" spans="1:9" ht="118.8" x14ac:dyDescent="0.3">
      <c r="A8" s="9">
        <v>7</v>
      </c>
      <c r="B8" s="9" t="s">
        <v>51</v>
      </c>
      <c r="C8" s="9" t="s">
        <v>32</v>
      </c>
      <c r="D8" s="9" t="s">
        <v>379</v>
      </c>
      <c r="E8" s="12" t="s">
        <v>57</v>
      </c>
      <c r="F8" s="9" t="s">
        <v>380</v>
      </c>
      <c r="G8" s="11" t="s">
        <v>39</v>
      </c>
      <c r="H8" s="9" t="s">
        <v>381</v>
      </c>
      <c r="I8" s="9" t="s">
        <v>382</v>
      </c>
    </row>
    <row r="9" spans="1:9" ht="52.8" x14ac:dyDescent="0.3">
      <c r="A9" s="9">
        <v>8</v>
      </c>
      <c r="B9" s="9" t="s">
        <v>55</v>
      </c>
      <c r="C9" s="9" t="s">
        <v>32</v>
      </c>
      <c r="D9" s="9" t="s">
        <v>383</v>
      </c>
      <c r="E9" s="11" t="s">
        <v>39</v>
      </c>
      <c r="F9" s="9"/>
      <c r="G9" s="11" t="s">
        <v>39</v>
      </c>
      <c r="H9" s="9" t="s">
        <v>384</v>
      </c>
      <c r="I9" s="9" t="s">
        <v>385</v>
      </c>
    </row>
    <row r="10" spans="1:9" ht="52.8" x14ac:dyDescent="0.3">
      <c r="A10" s="9">
        <v>9</v>
      </c>
      <c r="B10" s="9" t="s">
        <v>61</v>
      </c>
      <c r="C10" s="9" t="s">
        <v>32</v>
      </c>
      <c r="D10" s="9" t="s">
        <v>386</v>
      </c>
      <c r="E10" s="10" t="s">
        <v>34</v>
      </c>
      <c r="F10" s="9"/>
      <c r="G10" s="10" t="s">
        <v>34</v>
      </c>
      <c r="H10" s="9" t="s">
        <v>387</v>
      </c>
      <c r="I10" s="9" t="s">
        <v>388</v>
      </c>
    </row>
    <row r="11" spans="1:9" ht="237.6" x14ac:dyDescent="0.3">
      <c r="A11" s="9">
        <v>10</v>
      </c>
      <c r="B11" s="9" t="s">
        <v>64</v>
      </c>
      <c r="C11" s="9" t="s">
        <v>32</v>
      </c>
      <c r="D11" s="9" t="s">
        <v>389</v>
      </c>
      <c r="E11" s="11" t="s">
        <v>39</v>
      </c>
      <c r="F11" s="9"/>
      <c r="G11" s="11" t="s">
        <v>39</v>
      </c>
      <c r="H11" s="9"/>
      <c r="I11" s="9" t="s">
        <v>390</v>
      </c>
    </row>
    <row r="12" spans="1:9" ht="66" x14ac:dyDescent="0.3">
      <c r="A12" s="9">
        <v>11</v>
      </c>
      <c r="B12" s="9" t="s">
        <v>68</v>
      </c>
      <c r="C12" s="9" t="s">
        <v>32</v>
      </c>
      <c r="D12" s="9" t="s">
        <v>391</v>
      </c>
      <c r="E12" s="11" t="s">
        <v>39</v>
      </c>
      <c r="F12" s="9"/>
      <c r="G12" s="11" t="s">
        <v>39</v>
      </c>
      <c r="H12" s="9"/>
      <c r="I12" s="9" t="s">
        <v>392</v>
      </c>
    </row>
    <row r="13" spans="1:9" ht="79.2" x14ac:dyDescent="0.3">
      <c r="A13" s="9">
        <v>12</v>
      </c>
      <c r="B13" s="9" t="s">
        <v>72</v>
      </c>
      <c r="C13" s="9" t="s">
        <v>32</v>
      </c>
      <c r="D13" s="9" t="s">
        <v>393</v>
      </c>
      <c r="E13" s="11" t="s">
        <v>39</v>
      </c>
      <c r="F13" s="9"/>
      <c r="G13" s="11" t="s">
        <v>39</v>
      </c>
      <c r="H13" s="9"/>
      <c r="I13" s="9" t="s">
        <v>394</v>
      </c>
    </row>
    <row r="14" spans="1:9" ht="79.2" x14ac:dyDescent="0.3">
      <c r="A14" s="9">
        <v>13</v>
      </c>
      <c r="B14" s="9" t="s">
        <v>74</v>
      </c>
      <c r="C14" s="9" t="s">
        <v>32</v>
      </c>
      <c r="D14" s="9" t="s">
        <v>395</v>
      </c>
      <c r="E14" s="11" t="s">
        <v>39</v>
      </c>
      <c r="F14" s="9"/>
      <c r="G14" s="11" t="s">
        <v>39</v>
      </c>
      <c r="H14" s="9"/>
      <c r="I14" s="9" t="s">
        <v>396</v>
      </c>
    </row>
    <row r="15" spans="1:9" ht="79.2" x14ac:dyDescent="0.3">
      <c r="A15" s="9">
        <v>14</v>
      </c>
      <c r="B15" s="9" t="s">
        <v>76</v>
      </c>
      <c r="C15" s="9" t="s">
        <v>32</v>
      </c>
      <c r="D15" s="9" t="s">
        <v>397</v>
      </c>
      <c r="E15" s="11" t="s">
        <v>39</v>
      </c>
      <c r="F15" s="9"/>
      <c r="G15" s="11" t="s">
        <v>39</v>
      </c>
      <c r="H15" s="9"/>
      <c r="I15" s="9" t="s">
        <v>398</v>
      </c>
    </row>
    <row r="16" spans="1:9" ht="118.8" x14ac:dyDescent="0.3">
      <c r="A16" s="9">
        <v>15</v>
      </c>
      <c r="B16" s="9" t="s">
        <v>78</v>
      </c>
      <c r="C16" s="9" t="s">
        <v>32</v>
      </c>
      <c r="D16" s="9" t="s">
        <v>399</v>
      </c>
      <c r="E16" s="11" t="s">
        <v>39</v>
      </c>
      <c r="F16" s="9"/>
      <c r="G16" s="11" t="s">
        <v>39</v>
      </c>
      <c r="H16" s="9"/>
      <c r="I16" s="9" t="s">
        <v>400</v>
      </c>
    </row>
    <row r="17" spans="1:9" ht="52.8" x14ac:dyDescent="0.3">
      <c r="A17" s="9">
        <v>16</v>
      </c>
      <c r="B17" s="9" t="s">
        <v>80</v>
      </c>
      <c r="C17" s="9" t="s">
        <v>32</v>
      </c>
      <c r="D17" s="9" t="s">
        <v>401</v>
      </c>
      <c r="E17" s="11" t="s">
        <v>39</v>
      </c>
      <c r="F17" s="9"/>
      <c r="G17" s="11" t="s">
        <v>39</v>
      </c>
      <c r="H17" s="9"/>
      <c r="I17" s="9" t="s">
        <v>402</v>
      </c>
    </row>
    <row r="18" spans="1:9" ht="145.19999999999999" x14ac:dyDescent="0.3">
      <c r="A18" s="9">
        <v>17</v>
      </c>
      <c r="B18" s="9" t="s">
        <v>86</v>
      </c>
      <c r="C18" s="9" t="s">
        <v>32</v>
      </c>
      <c r="D18" s="9" t="s">
        <v>403</v>
      </c>
      <c r="E18" s="12" t="s">
        <v>57</v>
      </c>
      <c r="F18" s="9" t="s">
        <v>404</v>
      </c>
      <c r="G18" s="10" t="s">
        <v>34</v>
      </c>
      <c r="H18" s="9" t="s">
        <v>405</v>
      </c>
      <c r="I18" s="9" t="s">
        <v>406</v>
      </c>
    </row>
    <row r="19" spans="1:9" ht="79.2" x14ac:dyDescent="0.3">
      <c r="A19" s="9">
        <v>18</v>
      </c>
      <c r="B19" s="9" t="s">
        <v>88</v>
      </c>
      <c r="C19" s="9" t="s">
        <v>32</v>
      </c>
      <c r="D19" s="9" t="s">
        <v>407</v>
      </c>
      <c r="E19" s="12" t="s">
        <v>57</v>
      </c>
      <c r="F19" s="9" t="s">
        <v>408</v>
      </c>
      <c r="G19" s="11" t="s">
        <v>39</v>
      </c>
      <c r="H19" s="9" t="s">
        <v>409</v>
      </c>
      <c r="I19" s="9" t="s">
        <v>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LASER HAIR REMOVAL</vt:lpstr>
      <vt:lpstr>SEMI-PERMANENT MAKEUP</vt:lpstr>
      <vt:lpstr>FACIALS</vt:lpstr>
      <vt:lpstr>NAILS</vt:lpstr>
      <vt:lpstr>BOTOX &amp; FILLERS</vt:lpstr>
      <vt:lpstr>SKIN BOOSTERS</vt:lpstr>
      <vt:lpstr>GYNAE</vt:lpstr>
      <vt:lpstr>Sports Therapy</vt:lpstr>
      <vt:lpstr>PODOLOGY</vt:lpstr>
      <vt:lpstr>SCLEROTHERAPY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Younes Boujoudar</cp:lastModifiedBy>
  <dcterms:created xsi:type="dcterms:W3CDTF">2026-07-21T11:09:09Z</dcterms:created>
  <dcterms:modified xsi:type="dcterms:W3CDTF">2026-07-21T11:09:35Z</dcterms:modified>
</cp:coreProperties>
</file>